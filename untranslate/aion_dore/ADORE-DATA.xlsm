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2" i="1"/>
  <c r="G3" i="1"/>
  <c r="J3" i="1"/>
  <c r="G4" i="1"/>
  <c r="J4" i="1"/>
  <c r="G5" i="1"/>
  <c r="J5" i="1"/>
  <c r="G6" i="1"/>
  <c r="J6" i="1"/>
  <c r="G7" i="1"/>
  <c r="J7" i="1"/>
  <c r="G8" i="1"/>
  <c r="J8" i="1"/>
  <c r="G9" i="1"/>
  <c r="J9" i="1"/>
  <c r="G10" i="1"/>
  <c r="J10" i="1"/>
  <c r="G11" i="1"/>
  <c r="J11" i="1"/>
  <c r="G12" i="1"/>
  <c r="J12" i="1"/>
  <c r="G13" i="1"/>
  <c r="J13" i="1"/>
  <c r="G14" i="1"/>
  <c r="J14" i="1"/>
  <c r="G15" i="1"/>
  <c r="J15" i="1"/>
  <c r="G16" i="1"/>
  <c r="J16" i="1"/>
  <c r="G17" i="1"/>
  <c r="J17" i="1"/>
  <c r="G18" i="1"/>
  <c r="J18" i="1"/>
  <c r="G19" i="1"/>
  <c r="J19" i="1"/>
  <c r="G20" i="1"/>
  <c r="J20" i="1"/>
  <c r="G21" i="1"/>
  <c r="J21" i="1"/>
  <c r="G22" i="1"/>
  <c r="J22" i="1"/>
  <c r="G23" i="1"/>
  <c r="J23" i="1"/>
  <c r="G24" i="1"/>
  <c r="J24" i="1"/>
  <c r="G25" i="1"/>
  <c r="J25" i="1"/>
  <c r="G26" i="1"/>
  <c r="J26" i="1"/>
  <c r="G27" i="1"/>
  <c r="J27" i="1"/>
  <c r="G28" i="1"/>
  <c r="J28" i="1"/>
  <c r="G29" i="1"/>
  <c r="J29" i="1"/>
  <c r="G30" i="1"/>
  <c r="J30" i="1"/>
  <c r="G31" i="1"/>
  <c r="J31" i="1"/>
  <c r="G32" i="1"/>
  <c r="J32" i="1"/>
  <c r="G33" i="1"/>
  <c r="J33" i="1"/>
  <c r="G34" i="1"/>
  <c r="J34" i="1"/>
  <c r="G35" i="1"/>
  <c r="J35" i="1"/>
  <c r="G36" i="1"/>
  <c r="J36" i="1"/>
  <c r="G37" i="1"/>
  <c r="J37" i="1"/>
  <c r="G38" i="1"/>
  <c r="J38" i="1"/>
  <c r="G39" i="1"/>
  <c r="J39" i="1"/>
  <c r="G40" i="1"/>
  <c r="J40" i="1"/>
  <c r="G41" i="1"/>
  <c r="J41" i="1"/>
  <c r="G42" i="1"/>
  <c r="J42" i="1"/>
  <c r="G43" i="1"/>
  <c r="J43" i="1"/>
  <c r="G44" i="1"/>
  <c r="J44" i="1"/>
  <c r="G45" i="1"/>
  <c r="J45" i="1"/>
  <c r="G46" i="1"/>
  <c r="J46" i="1"/>
  <c r="G47" i="1"/>
  <c r="J47" i="1"/>
  <c r="G48" i="1"/>
  <c r="J48" i="1"/>
  <c r="G49" i="1"/>
  <c r="J49" i="1"/>
  <c r="G50" i="1"/>
  <c r="J50" i="1"/>
  <c r="G51" i="1"/>
  <c r="J51" i="1"/>
  <c r="G52" i="1"/>
  <c r="J52" i="1"/>
  <c r="G53" i="1"/>
  <c r="J53" i="1"/>
  <c r="G54" i="1"/>
  <c r="J54" i="1"/>
  <c r="G55" i="1"/>
  <c r="J55" i="1"/>
  <c r="G56" i="1"/>
  <c r="J56" i="1"/>
  <c r="G57" i="1"/>
  <c r="J57" i="1"/>
  <c r="G58" i="1"/>
  <c r="J58" i="1"/>
  <c r="G59" i="1"/>
  <c r="J59" i="1"/>
  <c r="G60" i="1"/>
  <c r="J60" i="1"/>
  <c r="G61" i="1"/>
  <c r="J61" i="1"/>
  <c r="G62" i="1"/>
  <c r="J62" i="1"/>
  <c r="G63" i="1"/>
  <c r="J63" i="1"/>
  <c r="G64" i="1"/>
  <c r="J64" i="1"/>
  <c r="G65" i="1"/>
  <c r="J65" i="1"/>
  <c r="G66" i="1"/>
  <c r="J66" i="1"/>
  <c r="G67" i="1"/>
  <c r="J67" i="1"/>
  <c r="G68" i="1"/>
  <c r="J68" i="1"/>
  <c r="G69" i="1"/>
  <c r="J69" i="1"/>
  <c r="G70" i="1"/>
  <c r="J70" i="1"/>
  <c r="G71" i="1"/>
  <c r="J71" i="1"/>
  <c r="G72" i="1"/>
  <c r="J72" i="1"/>
  <c r="G73" i="1"/>
  <c r="J73" i="1"/>
  <c r="G74" i="1"/>
  <c r="J74" i="1"/>
  <c r="G75" i="1"/>
  <c r="J75" i="1"/>
  <c r="G76" i="1"/>
  <c r="J76" i="1"/>
  <c r="G77" i="1"/>
  <c r="J77" i="1"/>
  <c r="G78" i="1"/>
  <c r="J78" i="1"/>
  <c r="G79" i="1"/>
  <c r="J79" i="1"/>
  <c r="G80" i="1"/>
  <c r="J80" i="1"/>
  <c r="G81" i="1"/>
  <c r="J81" i="1"/>
  <c r="G82" i="1"/>
  <c r="J82" i="1"/>
  <c r="G83" i="1"/>
  <c r="J83" i="1"/>
  <c r="G84" i="1"/>
  <c r="J84" i="1"/>
  <c r="G85" i="1"/>
  <c r="J85" i="1"/>
  <c r="G86" i="1"/>
  <c r="J86" i="1"/>
  <c r="G87" i="1"/>
  <c r="J87" i="1"/>
  <c r="G88" i="1"/>
  <c r="J88" i="1"/>
  <c r="G89" i="1"/>
  <c r="J89" i="1"/>
  <c r="G90" i="1"/>
  <c r="J90" i="1"/>
  <c r="G91" i="1"/>
  <c r="J91" i="1"/>
  <c r="G92" i="1"/>
  <c r="J92" i="1"/>
  <c r="G93" i="1"/>
  <c r="J93" i="1"/>
  <c r="G94" i="1"/>
  <c r="J94" i="1"/>
  <c r="G95" i="1"/>
  <c r="J95" i="1"/>
  <c r="G96" i="1"/>
  <c r="J96" i="1"/>
  <c r="G97" i="1"/>
  <c r="J97" i="1"/>
  <c r="G98" i="1"/>
  <c r="J98" i="1"/>
  <c r="G99" i="1"/>
  <c r="J99" i="1"/>
  <c r="G100" i="1"/>
  <c r="J100" i="1"/>
  <c r="G101" i="1"/>
  <c r="J101" i="1"/>
  <c r="G102" i="1"/>
  <c r="J102" i="1"/>
  <c r="G103" i="1"/>
  <c r="J103" i="1"/>
  <c r="G104" i="1"/>
  <c r="J104" i="1"/>
  <c r="G105" i="1"/>
  <c r="J105" i="1"/>
  <c r="G106" i="1"/>
  <c r="J106" i="1"/>
  <c r="G107" i="1"/>
  <c r="J107" i="1"/>
  <c r="G108" i="1"/>
  <c r="J108" i="1"/>
  <c r="G109" i="1"/>
  <c r="J109" i="1"/>
  <c r="G110" i="1"/>
  <c r="J110" i="1"/>
  <c r="G111" i="1"/>
  <c r="J111" i="1"/>
  <c r="G112" i="1"/>
  <c r="J112" i="1"/>
  <c r="G113" i="1"/>
  <c r="J113" i="1"/>
  <c r="G114" i="1"/>
  <c r="J114" i="1"/>
  <c r="G115" i="1"/>
  <c r="J115" i="1"/>
  <c r="G116" i="1"/>
  <c r="J116" i="1"/>
  <c r="G117" i="1"/>
  <c r="J117" i="1"/>
  <c r="G118" i="1"/>
  <c r="J118" i="1"/>
  <c r="G119" i="1"/>
  <c r="J119" i="1"/>
  <c r="G120" i="1"/>
  <c r="J120" i="1"/>
  <c r="G121" i="1"/>
  <c r="J121" i="1"/>
  <c r="G122" i="1"/>
  <c r="J122" i="1"/>
  <c r="G123" i="1"/>
  <c r="J123" i="1"/>
  <c r="G124" i="1"/>
  <c r="J124" i="1"/>
  <c r="G125" i="1"/>
  <c r="J125" i="1"/>
  <c r="G126" i="1"/>
  <c r="J126" i="1"/>
  <c r="G127" i="1"/>
  <c r="J127" i="1"/>
  <c r="G128" i="1"/>
  <c r="J128" i="1"/>
  <c r="G129" i="1"/>
  <c r="J129" i="1"/>
  <c r="G130" i="1"/>
  <c r="J130" i="1"/>
  <c r="G131" i="1"/>
  <c r="J131" i="1"/>
  <c r="G132" i="1"/>
  <c r="J132" i="1"/>
  <c r="G133" i="1"/>
  <c r="J133" i="1"/>
  <c r="G134" i="1"/>
  <c r="J134" i="1"/>
  <c r="G135" i="1"/>
  <c r="J135" i="1"/>
  <c r="G136" i="1"/>
  <c r="J136" i="1"/>
  <c r="G137" i="1"/>
  <c r="J137" i="1"/>
  <c r="G138" i="1"/>
  <c r="J138" i="1"/>
  <c r="G139" i="1"/>
  <c r="J139" i="1"/>
  <c r="G140" i="1"/>
  <c r="J140" i="1"/>
  <c r="G141" i="1"/>
  <c r="J141" i="1"/>
  <c r="G142" i="1"/>
  <c r="J142" i="1"/>
  <c r="G143" i="1"/>
  <c r="J143" i="1"/>
  <c r="G144" i="1"/>
  <c r="J144" i="1"/>
  <c r="G145" i="1"/>
  <c r="J145" i="1"/>
  <c r="G146" i="1"/>
  <c r="J146" i="1"/>
  <c r="G147" i="1"/>
  <c r="J147" i="1"/>
  <c r="G148" i="1"/>
  <c r="J148" i="1"/>
  <c r="G149" i="1"/>
  <c r="J149" i="1"/>
  <c r="G150" i="1"/>
  <c r="J150" i="1"/>
  <c r="G151" i="1"/>
  <c r="J151" i="1"/>
  <c r="G152" i="1"/>
  <c r="J152" i="1"/>
  <c r="G153" i="1"/>
  <c r="J153" i="1"/>
  <c r="G154" i="1"/>
  <c r="J154" i="1"/>
  <c r="G155" i="1"/>
  <c r="J155" i="1"/>
  <c r="G156" i="1"/>
  <c r="J156" i="1"/>
  <c r="G157" i="1"/>
  <c r="J157" i="1"/>
  <c r="G158" i="1"/>
  <c r="J158" i="1"/>
  <c r="G159" i="1"/>
  <c r="J159" i="1"/>
  <c r="G160" i="1"/>
  <c r="J160" i="1"/>
  <c r="G161" i="1"/>
  <c r="J161" i="1"/>
  <c r="G162" i="1"/>
  <c r="J162" i="1"/>
  <c r="G163" i="1"/>
  <c r="J163" i="1"/>
  <c r="G164" i="1"/>
  <c r="J164" i="1"/>
  <c r="G165" i="1"/>
  <c r="J165" i="1"/>
  <c r="G166" i="1"/>
  <c r="J166" i="1"/>
  <c r="G167" i="1"/>
  <c r="J167" i="1"/>
  <c r="G168" i="1"/>
  <c r="J168" i="1"/>
  <c r="G169" i="1"/>
  <c r="J169" i="1"/>
  <c r="G170" i="1"/>
  <c r="J170" i="1"/>
  <c r="G171" i="1"/>
  <c r="J171" i="1"/>
  <c r="G172" i="1"/>
  <c r="J172" i="1"/>
  <c r="G173" i="1"/>
  <c r="J173" i="1"/>
  <c r="G174" i="1"/>
  <c r="J174" i="1"/>
  <c r="G175" i="1"/>
  <c r="J175" i="1"/>
  <c r="G176" i="1"/>
  <c r="J176" i="1"/>
  <c r="G177" i="1"/>
  <c r="J177" i="1"/>
  <c r="G178" i="1"/>
  <c r="J178" i="1"/>
  <c r="G179" i="1"/>
  <c r="J179" i="1"/>
  <c r="G180" i="1"/>
  <c r="J180" i="1"/>
  <c r="G181" i="1"/>
  <c r="J181" i="1"/>
  <c r="G182" i="1"/>
  <c r="J182" i="1"/>
  <c r="G183" i="1"/>
  <c r="J183" i="1"/>
  <c r="G184" i="1"/>
  <c r="J184" i="1"/>
  <c r="G185" i="1"/>
  <c r="J185" i="1"/>
  <c r="G186" i="1"/>
  <c r="J186" i="1"/>
  <c r="G187" i="1"/>
  <c r="J187" i="1"/>
  <c r="G188" i="1"/>
  <c r="J188" i="1"/>
  <c r="G189" i="1"/>
  <c r="J189" i="1"/>
  <c r="G190" i="1"/>
  <c r="J190" i="1"/>
  <c r="G191" i="1"/>
  <c r="J191" i="1"/>
  <c r="G192" i="1"/>
  <c r="J192" i="1"/>
  <c r="G193" i="1"/>
  <c r="J193" i="1"/>
  <c r="G194" i="1"/>
  <c r="J194" i="1"/>
  <c r="G195" i="1"/>
  <c r="J195" i="1"/>
  <c r="G196" i="1"/>
  <c r="J196" i="1"/>
  <c r="G197" i="1"/>
  <c r="J197" i="1"/>
  <c r="G198" i="1"/>
  <c r="J198" i="1"/>
  <c r="G199" i="1"/>
  <c r="J199" i="1"/>
  <c r="G200" i="1"/>
  <c r="J200" i="1"/>
  <c r="G201" i="1"/>
  <c r="J201" i="1"/>
  <c r="G202" i="1"/>
  <c r="J202" i="1"/>
  <c r="G203" i="1"/>
  <c r="J203" i="1"/>
  <c r="G204" i="1"/>
  <c r="J204" i="1"/>
  <c r="G205" i="1"/>
  <c r="J205" i="1"/>
  <c r="G206" i="1"/>
  <c r="J206" i="1"/>
  <c r="G207" i="1"/>
  <c r="J207" i="1"/>
  <c r="G208" i="1"/>
  <c r="J208" i="1"/>
  <c r="G209" i="1"/>
  <c r="J209" i="1"/>
  <c r="G210" i="1"/>
  <c r="J210" i="1"/>
  <c r="G211" i="1"/>
  <c r="J211" i="1"/>
  <c r="G212" i="1"/>
  <c r="J212" i="1"/>
  <c r="G213" i="1"/>
  <c r="J213" i="1"/>
  <c r="G214" i="1"/>
  <c r="J214" i="1"/>
  <c r="G215" i="1"/>
  <c r="J215" i="1"/>
  <c r="G216" i="1"/>
  <c r="J216" i="1"/>
  <c r="G217" i="1"/>
  <c r="J217" i="1"/>
  <c r="G218" i="1"/>
  <c r="J218" i="1"/>
  <c r="G219" i="1"/>
  <c r="J219" i="1"/>
  <c r="G220" i="1"/>
  <c r="J220" i="1"/>
  <c r="G221" i="1"/>
  <c r="J221" i="1"/>
  <c r="G222" i="1"/>
  <c r="J222" i="1"/>
  <c r="G223" i="1"/>
  <c r="J223" i="1"/>
  <c r="G224" i="1"/>
  <c r="J224" i="1"/>
  <c r="G225" i="1"/>
  <c r="J225" i="1"/>
  <c r="G226" i="1"/>
  <c r="J226" i="1"/>
  <c r="G227" i="1"/>
  <c r="J227" i="1"/>
  <c r="G228" i="1"/>
  <c r="J228" i="1"/>
  <c r="G229" i="1"/>
  <c r="J229" i="1"/>
  <c r="G230" i="1"/>
  <c r="J230" i="1"/>
  <c r="G231" i="1"/>
  <c r="J231" i="1"/>
  <c r="G232" i="1"/>
  <c r="J232" i="1"/>
  <c r="G233" i="1"/>
  <c r="J233" i="1"/>
  <c r="G234" i="1"/>
  <c r="J234" i="1"/>
  <c r="G235" i="1"/>
  <c r="J235" i="1"/>
  <c r="G236" i="1"/>
  <c r="J236" i="1"/>
  <c r="G237" i="1"/>
  <c r="J237" i="1"/>
  <c r="G238" i="1"/>
  <c r="J238" i="1"/>
  <c r="G239" i="1"/>
  <c r="J239" i="1"/>
  <c r="G240" i="1"/>
  <c r="J240" i="1"/>
  <c r="G241" i="1"/>
  <c r="J241" i="1"/>
  <c r="G242" i="1"/>
  <c r="J242" i="1"/>
  <c r="G243" i="1"/>
  <c r="J243" i="1"/>
  <c r="G244" i="1"/>
  <c r="J244" i="1"/>
  <c r="G245" i="1"/>
  <c r="J245" i="1"/>
  <c r="G246" i="1"/>
  <c r="J246" i="1"/>
  <c r="G247" i="1"/>
  <c r="J247" i="1"/>
  <c r="G248" i="1"/>
  <c r="J248" i="1"/>
  <c r="G249" i="1"/>
  <c r="J249" i="1"/>
  <c r="G250" i="1"/>
  <c r="J250" i="1"/>
  <c r="G251" i="1"/>
  <c r="J251" i="1"/>
  <c r="G252" i="1"/>
  <c r="J252" i="1"/>
  <c r="G253" i="1"/>
  <c r="J253" i="1"/>
  <c r="G254" i="1"/>
  <c r="J254" i="1"/>
  <c r="G255" i="1"/>
  <c r="J255" i="1"/>
  <c r="G256" i="1"/>
  <c r="J256" i="1"/>
  <c r="G257" i="1"/>
  <c r="J257" i="1"/>
  <c r="G258" i="1"/>
  <c r="J258" i="1"/>
  <c r="G259" i="1"/>
  <c r="J259" i="1"/>
  <c r="G260" i="1"/>
  <c r="J260" i="1"/>
  <c r="G261" i="1"/>
  <c r="J261" i="1"/>
  <c r="G262" i="1"/>
  <c r="J262" i="1"/>
  <c r="G263" i="1"/>
  <c r="J263" i="1"/>
  <c r="G264" i="1"/>
  <c r="J264" i="1"/>
  <c r="G265" i="1"/>
  <c r="J265" i="1"/>
  <c r="G266" i="1"/>
  <c r="J266" i="1"/>
  <c r="G267" i="1"/>
  <c r="J267" i="1"/>
  <c r="G268" i="1"/>
  <c r="J268" i="1"/>
  <c r="G269" i="1"/>
  <c r="J269" i="1"/>
  <c r="G270" i="1"/>
  <c r="J270" i="1"/>
  <c r="G271" i="1"/>
  <c r="J271" i="1"/>
  <c r="G272" i="1"/>
  <c r="J272" i="1"/>
  <c r="G273" i="1"/>
  <c r="J273" i="1"/>
  <c r="G274" i="1"/>
  <c r="J274" i="1"/>
  <c r="G275" i="1"/>
  <c r="J275" i="1"/>
  <c r="G276" i="1"/>
  <c r="J276" i="1"/>
  <c r="G277" i="1"/>
  <c r="J277" i="1"/>
  <c r="G278" i="1"/>
  <c r="J278" i="1"/>
  <c r="G279" i="1"/>
  <c r="J279" i="1"/>
  <c r="G280" i="1"/>
  <c r="J280" i="1"/>
  <c r="G281" i="1"/>
  <c r="J281" i="1"/>
  <c r="G282" i="1"/>
  <c r="J282" i="1"/>
  <c r="G283" i="1"/>
  <c r="J283" i="1"/>
  <c r="G284" i="1"/>
  <c r="J284" i="1"/>
  <c r="G285" i="1"/>
  <c r="J285" i="1"/>
  <c r="G286" i="1"/>
  <c r="J286" i="1"/>
  <c r="G287" i="1"/>
  <c r="J287" i="1"/>
  <c r="G288" i="1"/>
  <c r="J288" i="1"/>
  <c r="G289" i="1"/>
  <c r="J289" i="1"/>
  <c r="G290" i="1"/>
  <c r="J290" i="1"/>
  <c r="G291" i="1"/>
  <c r="J291" i="1"/>
  <c r="G292" i="1"/>
  <c r="J292" i="1"/>
  <c r="G293" i="1"/>
  <c r="J293" i="1"/>
  <c r="G294" i="1"/>
  <c r="J294" i="1"/>
  <c r="G295" i="1"/>
  <c r="J295" i="1"/>
  <c r="G296" i="1"/>
  <c r="J296" i="1"/>
  <c r="G297" i="1"/>
  <c r="J297" i="1"/>
  <c r="G298" i="1"/>
  <c r="J298" i="1"/>
  <c r="G299" i="1"/>
  <c r="J299" i="1"/>
  <c r="G300" i="1"/>
  <c r="J300" i="1"/>
  <c r="G301" i="1"/>
  <c r="J301" i="1"/>
  <c r="G302" i="1"/>
  <c r="J302" i="1"/>
  <c r="G303" i="1"/>
  <c r="J303" i="1"/>
  <c r="G304" i="1"/>
  <c r="J304" i="1"/>
  <c r="G305" i="1"/>
  <c r="J305" i="1"/>
  <c r="G306" i="1"/>
  <c r="J306" i="1"/>
  <c r="G307" i="1"/>
  <c r="J307" i="1"/>
  <c r="G308" i="1"/>
  <c r="J308" i="1"/>
  <c r="G309" i="1"/>
  <c r="J309" i="1"/>
  <c r="G310" i="1"/>
  <c r="J310" i="1"/>
  <c r="G311" i="1"/>
  <c r="J311" i="1"/>
  <c r="G312" i="1"/>
  <c r="J312" i="1"/>
  <c r="G313" i="1"/>
  <c r="J313" i="1"/>
  <c r="G314" i="1"/>
  <c r="J314" i="1"/>
  <c r="G315" i="1"/>
  <c r="J315" i="1"/>
  <c r="G316" i="1"/>
  <c r="J316" i="1"/>
  <c r="G317" i="1"/>
  <c r="J317" i="1"/>
  <c r="G318" i="1"/>
  <c r="J318" i="1"/>
  <c r="G319" i="1"/>
  <c r="J319" i="1"/>
  <c r="G320" i="1"/>
  <c r="J320" i="1"/>
  <c r="G321" i="1"/>
  <c r="J321" i="1"/>
  <c r="G322" i="1"/>
  <c r="J322" i="1"/>
  <c r="G323" i="1"/>
  <c r="J323" i="1"/>
  <c r="G324" i="1"/>
  <c r="J324" i="1"/>
  <c r="G325" i="1"/>
  <c r="J325" i="1"/>
  <c r="G326" i="1"/>
  <c r="J326" i="1"/>
  <c r="G327" i="1"/>
  <c r="J327" i="1"/>
  <c r="G328" i="1"/>
  <c r="J328" i="1"/>
  <c r="G329" i="1"/>
  <c r="J329" i="1"/>
  <c r="G330" i="1"/>
  <c r="J330" i="1"/>
  <c r="G331" i="1"/>
  <c r="J331" i="1"/>
  <c r="G332" i="1"/>
  <c r="J332" i="1"/>
  <c r="G333" i="1"/>
  <c r="J333" i="1"/>
  <c r="G334" i="1"/>
  <c r="J334" i="1"/>
  <c r="G335" i="1"/>
  <c r="J335" i="1"/>
  <c r="G336" i="1"/>
  <c r="J336" i="1"/>
  <c r="G337" i="1"/>
  <c r="J337" i="1"/>
  <c r="G338" i="1"/>
  <c r="J338" i="1"/>
  <c r="G339" i="1"/>
  <c r="J339" i="1"/>
  <c r="G340" i="1"/>
  <c r="J340" i="1"/>
  <c r="G341" i="1"/>
  <c r="J341" i="1"/>
  <c r="G342" i="1"/>
  <c r="J342" i="1"/>
  <c r="G343" i="1"/>
  <c r="J343" i="1"/>
  <c r="G344" i="1"/>
  <c r="J344" i="1"/>
  <c r="G345" i="1"/>
  <c r="J345" i="1"/>
  <c r="G346" i="1"/>
  <c r="J346" i="1"/>
  <c r="G347" i="1"/>
  <c r="J347" i="1"/>
  <c r="G348" i="1"/>
  <c r="J348" i="1"/>
  <c r="G349" i="1"/>
  <c r="J349" i="1"/>
  <c r="G350" i="1"/>
  <c r="J350" i="1"/>
  <c r="G351" i="1"/>
  <c r="J351" i="1"/>
  <c r="G352" i="1"/>
  <c r="J352" i="1"/>
  <c r="G353" i="1"/>
  <c r="J353" i="1"/>
  <c r="G354" i="1"/>
  <c r="J354" i="1"/>
  <c r="G355" i="1"/>
  <c r="J355" i="1"/>
  <c r="G356" i="1"/>
  <c r="J356" i="1"/>
  <c r="G357" i="1"/>
  <c r="J357" i="1"/>
  <c r="G358" i="1"/>
  <c r="J358" i="1"/>
  <c r="G359" i="1"/>
  <c r="J359" i="1"/>
  <c r="G360" i="1"/>
  <c r="J360" i="1"/>
  <c r="G361" i="1"/>
  <c r="J361" i="1"/>
  <c r="G362" i="1"/>
  <c r="J362" i="1"/>
  <c r="G363" i="1"/>
  <c r="J363" i="1"/>
  <c r="G364" i="1"/>
  <c r="J364" i="1"/>
  <c r="G365" i="1"/>
  <c r="J365" i="1"/>
  <c r="G366" i="1"/>
  <c r="J366" i="1"/>
  <c r="G367" i="1"/>
  <c r="J367" i="1"/>
  <c r="G368" i="1"/>
  <c r="J368" i="1"/>
  <c r="G369" i="1"/>
  <c r="J369" i="1"/>
  <c r="G370" i="1"/>
  <c r="J370" i="1"/>
  <c r="G371" i="1"/>
  <c r="J371" i="1"/>
  <c r="G372" i="1"/>
  <c r="J372" i="1"/>
  <c r="G373" i="1"/>
  <c r="J373" i="1"/>
  <c r="G374" i="1"/>
  <c r="J374" i="1"/>
  <c r="G375" i="1"/>
  <c r="J375" i="1"/>
  <c r="G376" i="1"/>
  <c r="J376" i="1"/>
  <c r="G377" i="1"/>
  <c r="J377" i="1"/>
  <c r="G378" i="1"/>
  <c r="J378" i="1"/>
  <c r="G379" i="1"/>
  <c r="J379" i="1"/>
  <c r="G380" i="1"/>
  <c r="J380" i="1"/>
  <c r="G381" i="1"/>
  <c r="J381" i="1"/>
  <c r="G382" i="1"/>
  <c r="J382" i="1"/>
  <c r="G383" i="1"/>
  <c r="J383" i="1"/>
  <c r="G384" i="1"/>
  <c r="J384" i="1"/>
  <c r="G385" i="1"/>
  <c r="J385" i="1"/>
  <c r="G386" i="1"/>
  <c r="J386" i="1"/>
  <c r="G387" i="1"/>
  <c r="J387" i="1"/>
  <c r="G388" i="1"/>
  <c r="J388" i="1"/>
  <c r="G389" i="1"/>
  <c r="J389" i="1"/>
  <c r="G390" i="1"/>
  <c r="J390" i="1"/>
  <c r="G391" i="1"/>
  <c r="J391" i="1"/>
  <c r="G392" i="1"/>
  <c r="J392" i="1"/>
  <c r="G393" i="1"/>
  <c r="J393" i="1"/>
  <c r="G394" i="1"/>
  <c r="J394" i="1"/>
  <c r="G395" i="1"/>
  <c r="J395" i="1"/>
  <c r="G396" i="1"/>
  <c r="J396" i="1"/>
  <c r="G397" i="1"/>
  <c r="J397" i="1"/>
  <c r="G398" i="1"/>
  <c r="J398" i="1"/>
  <c r="G399" i="1"/>
  <c r="J399" i="1"/>
  <c r="G400" i="1"/>
  <c r="J400" i="1"/>
  <c r="G401" i="1"/>
  <c r="J401" i="1"/>
  <c r="G402" i="1"/>
  <c r="J402" i="1"/>
  <c r="G403" i="1"/>
  <c r="J403" i="1"/>
  <c r="G404" i="1"/>
  <c r="J404" i="1"/>
  <c r="G405" i="1"/>
  <c r="J405" i="1"/>
  <c r="G406" i="1"/>
  <c r="J406" i="1"/>
  <c r="G407" i="1"/>
  <c r="J407" i="1"/>
  <c r="G408" i="1"/>
  <c r="J408" i="1"/>
  <c r="G409" i="1"/>
  <c r="J409" i="1"/>
  <c r="G410" i="1"/>
  <c r="J410" i="1"/>
  <c r="G411" i="1"/>
  <c r="J411" i="1"/>
  <c r="G412" i="1"/>
  <c r="J412" i="1"/>
  <c r="G413" i="1"/>
  <c r="J413" i="1"/>
  <c r="G414" i="1"/>
  <c r="J414" i="1"/>
  <c r="G415" i="1"/>
  <c r="J415" i="1"/>
  <c r="G416" i="1"/>
  <c r="J416" i="1"/>
  <c r="G417" i="1"/>
  <c r="J417" i="1"/>
  <c r="G418" i="1"/>
  <c r="J418" i="1"/>
  <c r="G419" i="1"/>
  <c r="J419" i="1"/>
  <c r="G420" i="1"/>
  <c r="J420" i="1"/>
  <c r="G421" i="1"/>
  <c r="J421" i="1"/>
  <c r="G422" i="1"/>
  <c r="J422" i="1"/>
  <c r="G423" i="1"/>
  <c r="J423" i="1"/>
  <c r="G424" i="1"/>
  <c r="J424" i="1"/>
  <c r="G425" i="1"/>
  <c r="J425" i="1"/>
  <c r="G426" i="1"/>
  <c r="J426" i="1"/>
  <c r="G427" i="1"/>
  <c r="J427" i="1"/>
  <c r="G428" i="1"/>
  <c r="J428" i="1"/>
  <c r="G429" i="1"/>
  <c r="J429" i="1"/>
  <c r="G430" i="1"/>
  <c r="J430" i="1"/>
  <c r="G431" i="1"/>
  <c r="J431" i="1"/>
  <c r="G432" i="1"/>
  <c r="J432" i="1"/>
  <c r="G433" i="1"/>
  <c r="J433" i="1"/>
  <c r="G434" i="1"/>
  <c r="J434" i="1"/>
  <c r="G435" i="1"/>
  <c r="J435" i="1"/>
  <c r="G436" i="1"/>
  <c r="J436" i="1"/>
  <c r="G437" i="1"/>
  <c r="J437" i="1"/>
  <c r="G438" i="1"/>
  <c r="J438" i="1"/>
  <c r="G439" i="1"/>
  <c r="J439" i="1"/>
  <c r="G440" i="1"/>
  <c r="J440" i="1"/>
  <c r="G441" i="1"/>
  <c r="J441" i="1"/>
  <c r="G442" i="1"/>
  <c r="J442" i="1"/>
  <c r="G443" i="1"/>
  <c r="J443" i="1"/>
  <c r="G444" i="1"/>
  <c r="J444" i="1"/>
  <c r="G445" i="1"/>
  <c r="J445" i="1"/>
  <c r="G446" i="1"/>
  <c r="J446" i="1"/>
  <c r="G447" i="1"/>
  <c r="J447" i="1"/>
  <c r="G448" i="1"/>
  <c r="J448" i="1"/>
  <c r="G449" i="1"/>
  <c r="J449" i="1"/>
  <c r="G450" i="1"/>
  <c r="J450" i="1"/>
  <c r="G451" i="1"/>
  <c r="J451" i="1"/>
  <c r="G452" i="1"/>
  <c r="J452" i="1"/>
  <c r="G453" i="1"/>
  <c r="J453" i="1"/>
  <c r="G454" i="1"/>
  <c r="J454" i="1"/>
  <c r="G455" i="1"/>
  <c r="J455" i="1"/>
  <c r="G456" i="1"/>
  <c r="J456" i="1"/>
  <c r="G457" i="1"/>
  <c r="J457" i="1"/>
  <c r="G458" i="1"/>
  <c r="J458" i="1"/>
  <c r="G459" i="1"/>
  <c r="J459" i="1"/>
  <c r="G460" i="1"/>
  <c r="J460" i="1"/>
  <c r="G461" i="1"/>
  <c r="J461" i="1"/>
  <c r="G462" i="1"/>
  <c r="J462" i="1"/>
  <c r="G463" i="1"/>
  <c r="J463" i="1"/>
  <c r="G464" i="1"/>
  <c r="J464" i="1"/>
  <c r="G465" i="1"/>
  <c r="J465" i="1"/>
  <c r="G466" i="1"/>
  <c r="J466" i="1"/>
  <c r="G467" i="1"/>
  <c r="J467" i="1"/>
  <c r="G468" i="1"/>
  <c r="J468" i="1"/>
  <c r="G469" i="1"/>
  <c r="J469" i="1"/>
  <c r="G470" i="1"/>
  <c r="J470" i="1"/>
  <c r="G471" i="1"/>
  <c r="J471" i="1"/>
  <c r="G472" i="1"/>
  <c r="J472" i="1"/>
  <c r="G473" i="1"/>
  <c r="J473" i="1"/>
  <c r="G474" i="1"/>
  <c r="J474" i="1"/>
  <c r="G475" i="1"/>
  <c r="J475" i="1"/>
  <c r="G476" i="1"/>
  <c r="J476" i="1"/>
  <c r="G477" i="1"/>
  <c r="J477" i="1"/>
  <c r="G478" i="1"/>
  <c r="J478" i="1"/>
  <c r="G479" i="1"/>
  <c r="J479" i="1"/>
  <c r="G480" i="1"/>
  <c r="J480" i="1"/>
  <c r="G481" i="1"/>
  <c r="J481" i="1"/>
  <c r="G482" i="1"/>
  <c r="J482" i="1"/>
  <c r="G483" i="1"/>
  <c r="J483" i="1"/>
  <c r="G484" i="1"/>
  <c r="J484" i="1"/>
  <c r="G485" i="1"/>
  <c r="J485" i="1"/>
  <c r="G486" i="1"/>
  <c r="J486" i="1"/>
  <c r="G487" i="1"/>
  <c r="J487" i="1"/>
  <c r="G488" i="1"/>
  <c r="J488" i="1"/>
  <c r="G489" i="1"/>
  <c r="J489" i="1"/>
  <c r="G490" i="1"/>
  <c r="J490" i="1"/>
  <c r="G491" i="1"/>
  <c r="J491" i="1"/>
  <c r="G492" i="1"/>
  <c r="J492" i="1"/>
  <c r="G493" i="1"/>
  <c r="J493" i="1"/>
  <c r="G494" i="1"/>
  <c r="J494" i="1"/>
  <c r="G495" i="1"/>
  <c r="J495" i="1"/>
  <c r="G496" i="1"/>
  <c r="J496" i="1"/>
  <c r="G497" i="1"/>
  <c r="J497" i="1"/>
  <c r="G498" i="1"/>
  <c r="J498" i="1"/>
  <c r="G499" i="1"/>
  <c r="J499" i="1"/>
  <c r="G500" i="1"/>
  <c r="J500" i="1"/>
  <c r="G501" i="1"/>
  <c r="J501" i="1"/>
  <c r="G502" i="1"/>
  <c r="J502" i="1"/>
  <c r="G503" i="1"/>
  <c r="J503" i="1"/>
  <c r="G504" i="1"/>
  <c r="J504" i="1"/>
  <c r="G505" i="1"/>
  <c r="J505" i="1"/>
  <c r="G506" i="1"/>
  <c r="J506" i="1"/>
  <c r="G507" i="1"/>
  <c r="J507" i="1"/>
  <c r="G508" i="1"/>
  <c r="J508" i="1"/>
  <c r="G509" i="1"/>
  <c r="J509" i="1"/>
  <c r="G510" i="1"/>
  <c r="J510" i="1"/>
  <c r="G511" i="1"/>
  <c r="J511" i="1"/>
  <c r="G512" i="1"/>
  <c r="J512" i="1"/>
  <c r="G513" i="1"/>
  <c r="J513" i="1"/>
  <c r="G514" i="1"/>
  <c r="J514" i="1"/>
  <c r="G515" i="1"/>
  <c r="J515" i="1"/>
  <c r="G516" i="1"/>
  <c r="J516" i="1"/>
  <c r="G517" i="1"/>
  <c r="J517" i="1"/>
  <c r="G518" i="1"/>
  <c r="J518" i="1"/>
  <c r="G519" i="1"/>
  <c r="J519" i="1"/>
  <c r="G520" i="1"/>
  <c r="J520" i="1"/>
  <c r="G521" i="1"/>
  <c r="J521" i="1"/>
  <c r="G522" i="1"/>
  <c r="J522" i="1"/>
  <c r="G523" i="1"/>
  <c r="J523" i="1"/>
  <c r="G524" i="1"/>
  <c r="J524" i="1"/>
  <c r="G525" i="1"/>
  <c r="J525" i="1"/>
  <c r="G526" i="1"/>
  <c r="J526" i="1"/>
  <c r="G527" i="1"/>
  <c r="J527" i="1"/>
  <c r="G528" i="1"/>
  <c r="J528" i="1"/>
  <c r="G529" i="1"/>
  <c r="J529" i="1"/>
  <c r="G530" i="1"/>
  <c r="J530" i="1"/>
  <c r="G531" i="1"/>
  <c r="J531" i="1"/>
  <c r="G532" i="1"/>
  <c r="J532" i="1"/>
  <c r="G533" i="1"/>
  <c r="J533" i="1"/>
  <c r="G534" i="1"/>
  <c r="J534" i="1"/>
  <c r="G535" i="1"/>
  <c r="J535" i="1"/>
  <c r="G536" i="1"/>
  <c r="J536" i="1"/>
  <c r="G537" i="1"/>
  <c r="J537" i="1"/>
  <c r="G538" i="1"/>
  <c r="J538" i="1"/>
  <c r="G539" i="1"/>
  <c r="J539" i="1"/>
  <c r="D423" i="1"/>
  <c r="D296" i="1"/>
  <c r="D427" i="1"/>
  <c r="D354" i="1"/>
  <c r="D289" i="1"/>
  <c r="D215" i="1"/>
  <c r="D201" i="1"/>
  <c r="D218" i="1"/>
  <c r="D136" i="1"/>
  <c r="D168" i="1"/>
  <c r="D138" i="1"/>
  <c r="D498" i="1"/>
  <c r="D134" i="1"/>
  <c r="D510" i="1"/>
  <c r="D473" i="1" l="1"/>
  <c r="D257" i="1"/>
  <c r="D320" i="1"/>
  <c r="D403" i="1"/>
  <c r="D319" i="1"/>
  <c r="D402" i="1"/>
  <c r="D446" i="1"/>
  <c r="D251" i="1"/>
  <c r="D314" i="1"/>
  <c r="D397" i="1"/>
  <c r="D311" i="1"/>
  <c r="D394" i="1"/>
  <c r="D438" i="1"/>
  <c r="D390" i="1"/>
  <c r="D307" i="1"/>
  <c r="D243" i="1"/>
  <c r="D239" i="1"/>
  <c r="D303" i="1"/>
  <c r="D386" i="1"/>
  <c r="D283" i="1"/>
  <c r="D212" i="1"/>
  <c r="D331" i="1"/>
  <c r="D261" i="1"/>
  <c r="D180" i="1"/>
  <c r="D450" i="1"/>
  <c r="D259" i="1"/>
  <c r="D324" i="1"/>
  <c r="D317" i="1"/>
  <c r="D254" i="1"/>
  <c r="D444" i="1"/>
  <c r="D315" i="1"/>
  <c r="D252" i="1"/>
  <c r="D442" i="1"/>
  <c r="D313" i="1"/>
  <c r="D250" i="1"/>
  <c r="D440" i="1"/>
  <c r="D432" i="1"/>
  <c r="D305" i="1"/>
  <c r="D241" i="1"/>
  <c r="D297" i="1" l="1"/>
  <c r="D227" i="1"/>
  <c r="D410" i="1"/>
  <c r="D203" i="1"/>
  <c r="D429" i="1"/>
  <c r="D420" i="1"/>
  <c r="D418" i="1"/>
  <c r="D413" i="1"/>
  <c r="D384" i="1"/>
  <c r="D381" i="1"/>
  <c r="D379" i="1"/>
  <c r="D372" i="1"/>
  <c r="D368" i="1"/>
  <c r="D363" i="1"/>
  <c r="D340" i="1"/>
  <c r="D334" i="1"/>
  <c r="D321" i="1"/>
  <c r="D301" i="1"/>
  <c r="D298" i="1"/>
  <c r="D291" i="1"/>
  <c r="D287" i="1"/>
  <c r="D279" i="1"/>
  <c r="D273" i="1"/>
  <c r="D270" i="1"/>
  <c r="D267" i="1"/>
  <c r="D263" i="1"/>
  <c r="D237" i="1"/>
  <c r="D235" i="1"/>
  <c r="D231" i="1"/>
  <c r="D228" i="1"/>
  <c r="D224" i="1"/>
  <c r="D207" i="1"/>
  <c r="D198" i="1"/>
  <c r="D193" i="1"/>
  <c r="D182" i="1"/>
  <c r="D366" i="1"/>
  <c r="D430" i="1"/>
  <c r="D421" i="1"/>
  <c r="D419" i="1"/>
  <c r="D414" i="1"/>
  <c r="D382" i="1"/>
  <c r="D380" i="1"/>
  <c r="D373" i="1"/>
  <c r="D369" i="1"/>
  <c r="D364" i="1"/>
  <c r="D343" i="1"/>
  <c r="D336" i="1"/>
  <c r="D299" i="1"/>
  <c r="D292" i="1"/>
  <c r="D288" i="1"/>
  <c r="D276" i="1"/>
  <c r="D238" i="1"/>
  <c r="D236" i="1"/>
  <c r="D232" i="1"/>
  <c r="D229" i="1"/>
  <c r="D225" i="1"/>
  <c r="D209" i="1"/>
  <c r="D195" i="1"/>
  <c r="D385" i="1"/>
  <c r="D322" i="1"/>
  <c r="D302" i="1"/>
  <c r="D281" i="1"/>
  <c r="D272" i="1"/>
  <c r="D269" i="1"/>
  <c r="D265" i="1"/>
  <c r="D199" i="1"/>
  <c r="D184" i="1"/>
  <c r="D426" i="1" l="1"/>
  <c r="D278" i="1"/>
  <c r="D274" i="1"/>
  <c r="D208" i="1"/>
  <c r="D350" i="1"/>
  <c r="D346" i="1"/>
  <c r="D286" i="1"/>
  <c r="D277" i="1"/>
  <c r="D271" i="1"/>
  <c r="D264" i="1"/>
  <c r="D220" i="1"/>
  <c r="D214" i="1"/>
  <c r="D204" i="1"/>
  <c r="D190" i="1"/>
  <c r="D183" i="1"/>
  <c r="D194" i="1"/>
  <c r="D262" i="1"/>
  <c r="D181" i="1"/>
  <c r="D173" i="1"/>
  <c r="D445" i="1"/>
  <c r="D401" i="1"/>
  <c r="D255" i="1"/>
  <c r="D439" i="1"/>
  <c r="D395" i="1"/>
  <c r="D249" i="1"/>
  <c r="D435" i="1"/>
  <c r="D393" i="1"/>
  <c r="D245" i="1"/>
  <c r="D433" i="1"/>
  <c r="D389" i="1"/>
  <c r="D242" i="1"/>
  <c r="D383" i="1"/>
  <c r="D375" i="1"/>
  <c r="D223" i="1"/>
  <c r="D505" i="1"/>
  <c r="D353" i="1"/>
  <c r="D221" i="1"/>
  <c r="D347" i="1"/>
  <c r="D191" i="1"/>
  <c r="D342" i="1"/>
  <c r="D205" i="1"/>
  <c r="D407" i="1"/>
  <c r="D326" i="1"/>
  <c r="D179" i="1"/>
  <c r="D448" i="1"/>
  <c r="D443" i="1"/>
  <c r="D437" i="1"/>
  <c r="D436" i="1"/>
  <c r="D404" i="1"/>
  <c r="D399" i="1"/>
  <c r="D392" i="1"/>
  <c r="D391" i="1"/>
  <c r="D323" i="1"/>
  <c r="D316" i="1"/>
  <c r="D310" i="1"/>
  <c r="D309" i="1"/>
  <c r="D431" i="1"/>
  <c r="D387" i="1"/>
  <c r="D304" i="1"/>
  <c r="D377" i="1"/>
  <c r="D294" i="1"/>
  <c r="D417" i="1"/>
  <c r="D345" i="1"/>
  <c r="D339" i="1"/>
  <c r="D337" i="1"/>
  <c r="D284" i="1"/>
  <c r="D266" i="1"/>
  <c r="D197" i="1"/>
  <c r="D196" i="1"/>
  <c r="D192" i="1"/>
  <c r="D185" i="1"/>
  <c r="D186" i="1"/>
  <c r="D188" i="1"/>
  <c r="D175" i="1"/>
  <c r="D358" i="1"/>
  <c r="D360" i="1"/>
  <c r="D362" i="1"/>
  <c r="D361" i="1"/>
  <c r="D217" i="1"/>
  <c r="D202" i="1"/>
  <c r="D234" i="1"/>
  <c r="D244" i="1"/>
  <c r="D174" i="1"/>
  <c r="D159" i="1"/>
  <c r="D469" i="1"/>
  <c r="D459" i="1"/>
  <c r="D425" i="1"/>
  <c r="D332" i="1"/>
  <c r="D285" i="1"/>
  <c r="D213" i="1"/>
  <c r="D500" i="1"/>
  <c r="D165" i="1"/>
  <c r="D160" i="1"/>
  <c r="D157" i="1"/>
  <c r="D153" i="1"/>
  <c r="D145" i="1"/>
  <c r="D144" i="1"/>
  <c r="D143" i="1"/>
  <c r="D501" i="1"/>
  <c r="D172" i="1"/>
  <c r="D171" i="1"/>
  <c r="D330" i="1"/>
  <c r="D329" i="1"/>
  <c r="D486" i="1"/>
  <c r="D169" i="1"/>
  <c r="D170" i="1"/>
  <c r="D495" i="1"/>
  <c r="D494" i="1"/>
  <c r="D493" i="1"/>
  <c r="D489" i="1"/>
  <c r="D492" i="1"/>
  <c r="D490" i="1"/>
  <c r="D491" i="1"/>
  <c r="D499" i="1"/>
  <c r="D513" i="1"/>
  <c r="D511" i="1"/>
  <c r="D507" i="1"/>
  <c r="D411" i="1"/>
  <c r="D471" i="1"/>
  <c r="D497" i="1"/>
  <c r="D457" i="1"/>
  <c r="D488" i="1"/>
  <c r="D487" i="1"/>
  <c r="D484" i="1"/>
  <c r="D475" i="1"/>
  <c r="D503" i="1"/>
  <c r="D479" i="1"/>
  <c r="D485" i="1"/>
  <c r="D468" i="1"/>
  <c r="D504" i="1"/>
  <c r="D474" i="1"/>
  <c r="D127" i="1"/>
  <c r="D126" i="1"/>
  <c r="D125" i="1"/>
  <c r="D124" i="1"/>
  <c r="D123" i="1"/>
  <c r="D135" i="1"/>
  <c r="D133" i="1"/>
  <c r="D131" i="1"/>
  <c r="D129" i="1"/>
  <c r="D132" i="1"/>
  <c r="D130" i="1"/>
  <c r="D128" i="1"/>
  <c r="D365" i="1"/>
  <c r="D359" i="1"/>
  <c r="D200" i="1"/>
  <c r="D187" i="1"/>
  <c r="D139" i="1"/>
  <c r="D137" i="1"/>
  <c r="D502" i="1"/>
  <c r="D470" i="1"/>
  <c r="D349" i="1"/>
  <c r="D290" i="1"/>
  <c r="D167" i="1"/>
  <c r="D219" i="1"/>
  <c r="G2" i="1"/>
  <c r="D452" i="1" l="1"/>
  <c r="D467" i="1"/>
  <c r="D478" i="1"/>
  <c r="D14" i="1"/>
  <c r="D483" i="1"/>
  <c r="D482" i="1"/>
  <c r="D233" i="1"/>
  <c r="D146" i="1"/>
  <c r="D509" i="1"/>
  <c r="D508" i="1"/>
  <c r="D496" i="1"/>
  <c r="D481" i="1"/>
  <c r="D480" i="1"/>
  <c r="D472" i="1"/>
  <c r="D3" i="1"/>
  <c r="D4" i="1"/>
  <c r="D5" i="1"/>
  <c r="D6" i="1"/>
  <c r="D7" i="1"/>
  <c r="D8" i="1"/>
  <c r="D9" i="1"/>
  <c r="D10" i="1"/>
  <c r="D11" i="1"/>
  <c r="D12" i="1"/>
  <c r="D13" i="1"/>
  <c r="D506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40" i="1"/>
  <c r="D141" i="1"/>
  <c r="D142" i="1"/>
  <c r="D147" i="1"/>
  <c r="D148" i="1"/>
  <c r="D149" i="1"/>
  <c r="D150" i="1"/>
  <c r="D151" i="1"/>
  <c r="D152" i="1"/>
  <c r="D154" i="1"/>
  <c r="D155" i="1"/>
  <c r="D156" i="1"/>
  <c r="D158" i="1"/>
  <c r="D161" i="1"/>
  <c r="D162" i="1"/>
  <c r="D163" i="1"/>
  <c r="D164" i="1"/>
  <c r="D166" i="1"/>
  <c r="D176" i="1"/>
  <c r="D177" i="1"/>
  <c r="D178" i="1"/>
  <c r="D189" i="1"/>
  <c r="D206" i="1"/>
  <c r="D210" i="1"/>
  <c r="D211" i="1"/>
  <c r="D216" i="1"/>
  <c r="D222" i="1"/>
  <c r="D226" i="1"/>
  <c r="D230" i="1"/>
  <c r="D240" i="1"/>
  <c r="D246" i="1"/>
  <c r="D247" i="1"/>
  <c r="D253" i="1"/>
  <c r="D258" i="1"/>
  <c r="D260" i="1"/>
  <c r="D268" i="1"/>
  <c r="D275" i="1"/>
  <c r="D280" i="1"/>
  <c r="D282" i="1"/>
  <c r="D293" i="1"/>
  <c r="D295" i="1"/>
  <c r="D300" i="1"/>
  <c r="D306" i="1"/>
  <c r="D308" i="1"/>
  <c r="D312" i="1"/>
  <c r="D318" i="1"/>
  <c r="D325" i="1"/>
  <c r="D327" i="1"/>
  <c r="D328" i="1"/>
  <c r="D333" i="1"/>
  <c r="D335" i="1"/>
  <c r="D338" i="1"/>
  <c r="D341" i="1"/>
  <c r="D344" i="1"/>
  <c r="D348" i="1"/>
  <c r="D351" i="1"/>
  <c r="D352" i="1"/>
  <c r="D356" i="1"/>
  <c r="D357" i="1"/>
  <c r="D355" i="1"/>
  <c r="D367" i="1"/>
  <c r="D370" i="1"/>
  <c r="D371" i="1"/>
  <c r="D374" i="1"/>
  <c r="D376" i="1"/>
  <c r="D378" i="1"/>
  <c r="D388" i="1"/>
  <c r="D396" i="1"/>
  <c r="D398" i="1"/>
  <c r="D400" i="1"/>
  <c r="D405" i="1"/>
  <c r="D406" i="1"/>
  <c r="D408" i="1"/>
  <c r="D409" i="1"/>
  <c r="D412" i="1"/>
  <c r="D415" i="1"/>
  <c r="D416" i="1"/>
  <c r="D422" i="1"/>
  <c r="D424" i="1"/>
  <c r="D428" i="1"/>
  <c r="D434" i="1"/>
  <c r="D248" i="1"/>
  <c r="D441" i="1"/>
  <c r="D256" i="1"/>
  <c r="D447" i="1"/>
  <c r="D449" i="1"/>
  <c r="D451" i="1"/>
  <c r="D453" i="1"/>
  <c r="D454" i="1"/>
  <c r="D455" i="1"/>
  <c r="D456" i="1"/>
  <c r="D458" i="1"/>
  <c r="D460" i="1"/>
  <c r="D461" i="1"/>
  <c r="D462" i="1"/>
  <c r="D463" i="1"/>
  <c r="D464" i="1"/>
  <c r="D465" i="1"/>
  <c r="D466" i="1"/>
  <c r="D476" i="1"/>
  <c r="D477" i="1"/>
  <c r="D512" i="1"/>
  <c r="D514" i="1"/>
  <c r="D515" i="1"/>
  <c r="D516" i="1"/>
  <c r="D517" i="1"/>
  <c r="D518" i="1"/>
  <c r="D2" i="1" l="1"/>
  <c r="J2" i="1" s="1"/>
</calcChain>
</file>

<file path=xl/sharedStrings.xml><?xml version="1.0" encoding="utf-8"?>
<sst xmlns="http://schemas.openxmlformats.org/spreadsheetml/2006/main" count="2297" uniqueCount="869">
  <si>
    <t>Gen 1</t>
  </si>
  <si>
    <t>The Creation of Light</t>
  </si>
  <si>
    <t>Gen 2</t>
  </si>
  <si>
    <t>The Creation of Eve</t>
  </si>
  <si>
    <t>Gen 3</t>
  </si>
  <si>
    <t>Adam and Eve Are Driven out of Eden</t>
  </si>
  <si>
    <t>Gen 4A</t>
  </si>
  <si>
    <t>Cain and Abel Offer Their Sacrifices</t>
  </si>
  <si>
    <t>Gen 4B</t>
  </si>
  <si>
    <t>Cain Slays Abel</t>
  </si>
  <si>
    <t>Gen 6</t>
  </si>
  <si>
    <t>Gen 7</t>
  </si>
  <si>
    <t>The Great Flood</t>
  </si>
  <si>
    <t>Gen 8</t>
  </si>
  <si>
    <t>Gen 9</t>
  </si>
  <si>
    <t>Noah Curses Ham and Canaan</t>
  </si>
  <si>
    <t>Gen 11</t>
  </si>
  <si>
    <t>The Tower of Babel</t>
  </si>
  <si>
    <t>Gen 12</t>
  </si>
  <si>
    <t>Abraham Goes to the Land of Canaan</t>
  </si>
  <si>
    <t>Gen 18</t>
  </si>
  <si>
    <t>Abraham and the Three Angels</t>
  </si>
  <si>
    <t>Gen 19</t>
  </si>
  <si>
    <t>Lot Flees as Sodom and Gomorrah Burn</t>
  </si>
  <si>
    <t>Gen 21A</t>
  </si>
  <si>
    <t>Abraham Sends Hagar and Ishmael Away</t>
  </si>
  <si>
    <t>Gen 21B</t>
  </si>
  <si>
    <t>Hagar and Ishmael in the Wilderness</t>
  </si>
  <si>
    <t>Gen 22</t>
  </si>
  <si>
    <t>The Testing of Abraham's Faith</t>
  </si>
  <si>
    <t>Gen 23</t>
  </si>
  <si>
    <t>The Burial of Sarah</t>
  </si>
  <si>
    <t>Gen 24A</t>
  </si>
  <si>
    <t>Eliezer and Rebekah at the Well</t>
  </si>
  <si>
    <t>Gen 24B</t>
  </si>
  <si>
    <t>The Meeting of Isaac and Rebekah</t>
  </si>
  <si>
    <t>Gen 27</t>
  </si>
  <si>
    <t>Isaac Blesses Jacob</t>
  </si>
  <si>
    <t>Gen 28</t>
  </si>
  <si>
    <t>Jacob's Dream</t>
  </si>
  <si>
    <t>Gen 29</t>
  </si>
  <si>
    <t>Jacob Tends Laban's Flocks and Meets Rachel</t>
  </si>
  <si>
    <t>Gen 32A</t>
  </si>
  <si>
    <t>Jacob Prays for Protection</t>
  </si>
  <si>
    <t>Gen 32B</t>
  </si>
  <si>
    <t>Jacob Wrestles with the Angel</t>
  </si>
  <si>
    <t>Gen 33</t>
  </si>
  <si>
    <t>Jacob and Esau Meet</t>
  </si>
  <si>
    <t>Gen 37</t>
  </si>
  <si>
    <t>Gen 41</t>
  </si>
  <si>
    <t>Joseph Interprets Pharaoh's Dream</t>
  </si>
  <si>
    <t>Gen 45</t>
  </si>
  <si>
    <t>Joseph Reveals Himself to His Brothers</t>
  </si>
  <si>
    <t>Gen 46</t>
  </si>
  <si>
    <t>Jacob Goes to Egypt</t>
  </si>
  <si>
    <t>Exod 2A</t>
  </si>
  <si>
    <t>The Child Moses on the Nile</t>
  </si>
  <si>
    <t>Exod 2B</t>
  </si>
  <si>
    <t>The Finding of Moses</t>
  </si>
  <si>
    <t>Exod 7</t>
  </si>
  <si>
    <t>Moses and Aaron Appear before Pharaoh</t>
  </si>
  <si>
    <t>Exod 9</t>
  </si>
  <si>
    <t>The Fifth Plague: Livestock Disease</t>
  </si>
  <si>
    <t>Exod 10</t>
  </si>
  <si>
    <t>The Ninth Plague: Darkness</t>
  </si>
  <si>
    <t>Exod 12A</t>
  </si>
  <si>
    <t>The Firstborn of the Egyptians Are Slain</t>
  </si>
  <si>
    <t>Exod 12B</t>
  </si>
  <si>
    <t>The Egyptians Ask Moses to Depart</t>
  </si>
  <si>
    <t>Exod 14</t>
  </si>
  <si>
    <t>The Egyptians Drown in the Sea</t>
  </si>
  <si>
    <t>Exod 17</t>
  </si>
  <si>
    <t>Moses Strikes the Rock at Horeb</t>
  </si>
  <si>
    <t>Exod 19</t>
  </si>
  <si>
    <t>The Giving of the Law on Mount Sinai</t>
  </si>
  <si>
    <t>Exod 32A</t>
  </si>
  <si>
    <t>Moses Comes Down from Mount Sinai</t>
  </si>
  <si>
    <t>Exod 32B</t>
  </si>
  <si>
    <t>Moses Breaks the Tables of the Law</t>
  </si>
  <si>
    <t>Num 13</t>
  </si>
  <si>
    <t>The Spies Return from the Promised Land</t>
  </si>
  <si>
    <t>Num 16</t>
  </si>
  <si>
    <t>The Death of Korah, Dathan, and Abiram</t>
  </si>
  <si>
    <t>Num 21</t>
  </si>
  <si>
    <t>The Bronze Serpent</t>
  </si>
  <si>
    <t>Num 22</t>
  </si>
  <si>
    <t>An Angel Appears to Balaam</t>
  </si>
  <si>
    <t>Josh 3</t>
  </si>
  <si>
    <t>The Israelites Cross the Jordan River</t>
  </si>
  <si>
    <t>Josh 6A</t>
  </si>
  <si>
    <t>The Walls of Jericho Fall Down</t>
  </si>
  <si>
    <t>Josh 6B</t>
  </si>
  <si>
    <t>Joshua Spares Rahab</t>
  </si>
  <si>
    <t>Josh 7</t>
  </si>
  <si>
    <t>Josh 8</t>
  </si>
  <si>
    <t>Joshua Burns the Town of Ai</t>
  </si>
  <si>
    <t>Josh 10A</t>
  </si>
  <si>
    <t>Josh 10B</t>
  </si>
  <si>
    <t>Joshua Commands the Sun to Stand Still</t>
  </si>
  <si>
    <t>Judg 2</t>
  </si>
  <si>
    <t>An Angel Appears to the Israelites</t>
  </si>
  <si>
    <t>Judg 4</t>
  </si>
  <si>
    <t>Jael Kills Sisera</t>
  </si>
  <si>
    <t>Judg 5</t>
  </si>
  <si>
    <t>Deborah Praises Jael</t>
  </si>
  <si>
    <t>Judg 7A</t>
  </si>
  <si>
    <t>Gideon Chooses 300 Soldiers</t>
  </si>
  <si>
    <t>Judg 7B</t>
  </si>
  <si>
    <t>The Midianites Are Routed</t>
  </si>
  <si>
    <t>Judg 9A</t>
  </si>
  <si>
    <t>The Death of Gideon's Sons</t>
  </si>
  <si>
    <t>Judg 9B</t>
  </si>
  <si>
    <t>The Death of Abimelech</t>
  </si>
  <si>
    <t>Judg 11A</t>
  </si>
  <si>
    <t>Jephthah's Daughter Comes to Meet Her Father</t>
  </si>
  <si>
    <t>Judg 11B</t>
  </si>
  <si>
    <t>Israelite Women Mourn with Jephthah's Daughter</t>
  </si>
  <si>
    <t>Judg 14</t>
  </si>
  <si>
    <t>Samson Slays a Lion</t>
  </si>
  <si>
    <t>Judg 15</t>
  </si>
  <si>
    <t>Samson Destroys the Philistines with an Ass' Jawbone</t>
  </si>
  <si>
    <t>Judg 16A</t>
  </si>
  <si>
    <t>Samson Carries away the Gates of Gaza</t>
  </si>
  <si>
    <t>Judg 16B</t>
  </si>
  <si>
    <t>Samson and Delilah</t>
  </si>
  <si>
    <t>Judg 16C</t>
  </si>
  <si>
    <t>The Death of Samson</t>
  </si>
  <si>
    <t>Judg 19A</t>
  </si>
  <si>
    <t>A Levite Finds a Woman's Corpse</t>
  </si>
  <si>
    <t>Judg 19B</t>
  </si>
  <si>
    <t>The Levite Carries the Woman's Body Away</t>
  </si>
  <si>
    <t>Judg 21</t>
  </si>
  <si>
    <t>The Benjaminites Take the Virgins of Jabesh-gilead</t>
  </si>
  <si>
    <t>Ruth 1</t>
  </si>
  <si>
    <t>Naomi and Her Daughters-in-Law</t>
  </si>
  <si>
    <t>Ruth 2</t>
  </si>
  <si>
    <t>Ruth and Boaz</t>
  </si>
  <si>
    <t>1Sam 6</t>
  </si>
  <si>
    <t>1Sam 9</t>
  </si>
  <si>
    <t>Samuel Blesses Saul</t>
  </si>
  <si>
    <t>1Sam 15</t>
  </si>
  <si>
    <t>The Death of Agag</t>
  </si>
  <si>
    <t>1Sam 17</t>
  </si>
  <si>
    <t>David Slays Goliath</t>
  </si>
  <si>
    <t>1Sam 18</t>
  </si>
  <si>
    <t>Saul Attempts to Kill David</t>
  </si>
  <si>
    <t>1Sam 19</t>
  </si>
  <si>
    <t>David Escapes through a Window</t>
  </si>
  <si>
    <t>1Sam 20</t>
  </si>
  <si>
    <t>David and Jonathan</t>
  </si>
  <si>
    <t>1Sam 24</t>
  </si>
  <si>
    <t>David Shows Saul How He Spared His Life</t>
  </si>
  <si>
    <t>1Sam 28</t>
  </si>
  <si>
    <t>Saul and the Witch of Endor</t>
  </si>
  <si>
    <t>1Sam 31</t>
  </si>
  <si>
    <t>The Death of Saul</t>
  </si>
  <si>
    <t>2Sam 2</t>
  </si>
  <si>
    <t>Combat between Soldiers of Ish-bosheth and David</t>
  </si>
  <si>
    <t>2Sam 12</t>
  </si>
  <si>
    <t>David Attacks the Ammonites</t>
  </si>
  <si>
    <t>2Sam 18A</t>
  </si>
  <si>
    <t>The Death of Absalom</t>
  </si>
  <si>
    <t>2Sam 18B</t>
  </si>
  <si>
    <t>David Mourns the Death of Absalom</t>
  </si>
  <si>
    <t>2Sam 21A</t>
  </si>
  <si>
    <t>2Sam 21B</t>
  </si>
  <si>
    <t>Abishai Saves David's Life</t>
  </si>
  <si>
    <t>1Kings 3</t>
  </si>
  <si>
    <t>The Judgment of Solomon</t>
  </si>
  <si>
    <t>1Kings 5</t>
  </si>
  <si>
    <t>Cedars Are Cut Down for the Jerusalem Temple</t>
  </si>
  <si>
    <t>1Kings 13</t>
  </si>
  <si>
    <t>1Kings 17</t>
  </si>
  <si>
    <t>Elijah Raises the Son of the Widow of Zarephath</t>
  </si>
  <si>
    <t>1Kings 18</t>
  </si>
  <si>
    <t>The Prophets of Baal Are Slaughtered</t>
  </si>
  <si>
    <t>1Kings 19</t>
  </si>
  <si>
    <t>1Kings 20</t>
  </si>
  <si>
    <t>The Israelites Slaughter the Syrians</t>
  </si>
  <si>
    <t>1Kings 22</t>
  </si>
  <si>
    <t>The Death of Ahab</t>
  </si>
  <si>
    <t>2Kings 1</t>
  </si>
  <si>
    <t>Elijah Destroys the Messengers of Ahaziah</t>
  </si>
  <si>
    <t>2Kings 2A</t>
  </si>
  <si>
    <t>Elijah Ascends to Heaven in a Chariot of Fire</t>
  </si>
  <si>
    <t>2Kings 2B</t>
  </si>
  <si>
    <t>Some Children Are Destroyed by Bears</t>
  </si>
  <si>
    <t>2Kings 6</t>
  </si>
  <si>
    <t>A Famine in Samaria</t>
  </si>
  <si>
    <t>2Kings 9A</t>
  </si>
  <si>
    <t>The Death of Jezebel</t>
  </si>
  <si>
    <t>2Kings 9B</t>
  </si>
  <si>
    <t>Jehu's Companions Find Jezebel's Remains</t>
  </si>
  <si>
    <t>2Kings 17</t>
  </si>
  <si>
    <t>Foreign Nations Are Slain by Lions in Samaria</t>
  </si>
  <si>
    <t>2Kings 19</t>
  </si>
  <si>
    <t>2Kings 25</t>
  </si>
  <si>
    <t>Zedekiah's Sons Are Slaughtered before His Eyes</t>
  </si>
  <si>
    <t>1Chron 10</t>
  </si>
  <si>
    <t>Jabesh-Gileadites Recover the Bodies of Saul and His Sons</t>
  </si>
  <si>
    <t>1Chron 21</t>
  </si>
  <si>
    <t>The Plague of Jerusalem</t>
  </si>
  <si>
    <t>2Chron 9</t>
  </si>
  <si>
    <t>Solomon Receives the Queen of Sheba</t>
  </si>
  <si>
    <t>2Chron 10</t>
  </si>
  <si>
    <t>King Solomon in Old Age</t>
  </si>
  <si>
    <t>2Chron 20</t>
  </si>
  <si>
    <t>The Ammonite and Moabite Armies Are Destroyed</t>
  </si>
  <si>
    <t>2Chron 22</t>
  </si>
  <si>
    <t>The Death of Athaliah</t>
  </si>
  <si>
    <t>Ezra 1</t>
  </si>
  <si>
    <t>Cyrus Restores the Vessels of the Temple</t>
  </si>
  <si>
    <t>Ezra 3</t>
  </si>
  <si>
    <t>Ezra 7</t>
  </si>
  <si>
    <t>Artaxerxes Grants Freedom to the Jews</t>
  </si>
  <si>
    <t>Ezra 9</t>
  </si>
  <si>
    <t>Ezra Kneels in Prayer</t>
  </si>
  <si>
    <t>Neh 2</t>
  </si>
  <si>
    <t>Nehemiah Views the Ruins of Jerusalem's Walls</t>
  </si>
  <si>
    <t>Neh 8</t>
  </si>
  <si>
    <t>Ezra Reads the Law to the People</t>
  </si>
  <si>
    <t>Tobias and the Angel</t>
  </si>
  <si>
    <t>The Angel Raphael and the Family of Tobit</t>
  </si>
  <si>
    <t>Judith and Holofernes</t>
  </si>
  <si>
    <t>Judith Shows the Head of Holofernes</t>
  </si>
  <si>
    <t>Esther 1</t>
  </si>
  <si>
    <t>Queen Vashti Refuses to Obey Ahasuerus' Command</t>
  </si>
  <si>
    <t>Esther 6</t>
  </si>
  <si>
    <t>The Triumph of Mordecai</t>
  </si>
  <si>
    <t>Esther 7</t>
  </si>
  <si>
    <t>Esther Accuses Haman</t>
  </si>
  <si>
    <t>Esther Before the King</t>
  </si>
  <si>
    <t>Mattathias and the Apostate</t>
  </si>
  <si>
    <t>Mattathias Appeals to the Jewish Refugees</t>
  </si>
  <si>
    <t>Judas Maccabeus Pursues Timotheus</t>
  </si>
  <si>
    <t>The Death of Eleazar</t>
  </si>
  <si>
    <t>Jonathan Destroys the Temple of Dagon</t>
  </si>
  <si>
    <t>The Army Appears in the Heavens</t>
  </si>
  <si>
    <t>The Martyrdom of Eleazar the Scribe</t>
  </si>
  <si>
    <t>The Courage of a Mother</t>
  </si>
  <si>
    <t>The Punishment of Antiochus</t>
  </si>
  <si>
    <t>Judas Maccabeus before the Army of Nicanor</t>
  </si>
  <si>
    <t>Job 1</t>
  </si>
  <si>
    <t>Job Hears of His Misfortunes</t>
  </si>
  <si>
    <t>Job 2</t>
  </si>
  <si>
    <t>Job Speaks with His Friends</t>
  </si>
  <si>
    <t>Isaiah 6</t>
  </si>
  <si>
    <t>The Prophet Isaiah</t>
  </si>
  <si>
    <t>Isaiah 13</t>
  </si>
  <si>
    <t>Isaiah's Vision of the Destruction of Babylon</t>
  </si>
  <si>
    <t>Isaiah 27</t>
  </si>
  <si>
    <t>The Destruction of Leviathan</t>
  </si>
  <si>
    <t>Jer 1</t>
  </si>
  <si>
    <t>The Prophet Jeremiah</t>
  </si>
  <si>
    <t>Jer 36</t>
  </si>
  <si>
    <t>Baruch Writes Jeremiah's Prophecies</t>
  </si>
  <si>
    <t>Jer 39</t>
  </si>
  <si>
    <t>People Mourn over the Destruction of Jerusalem</t>
  </si>
  <si>
    <t>Baruch</t>
  </si>
  <si>
    <t>Ezek 1</t>
  </si>
  <si>
    <t>The Prophet Ezekiel</t>
  </si>
  <si>
    <t>Ezek 37</t>
  </si>
  <si>
    <t>Dan 1</t>
  </si>
  <si>
    <t>Daniel among the Exiles</t>
  </si>
  <si>
    <t>Dan 3</t>
  </si>
  <si>
    <t>Dan 5</t>
  </si>
  <si>
    <t>Daniel Interprets the Writing on the Wall</t>
  </si>
  <si>
    <t>Dan 6</t>
  </si>
  <si>
    <t>Daniel in the Lions' Den</t>
  </si>
  <si>
    <t>Dan 7</t>
  </si>
  <si>
    <t>Daniel's Vision of the Four Beasts</t>
  </si>
  <si>
    <t>Susanna in the Bath</t>
  </si>
  <si>
    <t>The Justification of Susanna</t>
  </si>
  <si>
    <t>Daniel Confounds the Priests of Bel</t>
  </si>
  <si>
    <t>Amos 1</t>
  </si>
  <si>
    <t>The Prophet Amos</t>
  </si>
  <si>
    <t>Jonah 2</t>
  </si>
  <si>
    <t>Jonah 3</t>
  </si>
  <si>
    <t>Jonah Preaches to the Ninevites</t>
  </si>
  <si>
    <t>Micah 1</t>
  </si>
  <si>
    <t>Micah Exhorts the Israelites to Repent</t>
  </si>
  <si>
    <t>Zech 6</t>
  </si>
  <si>
    <t>Zechariah's Vision of Four Chariots</t>
  </si>
  <si>
    <t>Matt 2A</t>
  </si>
  <si>
    <t>Wise Men Are Guided by a Star</t>
  </si>
  <si>
    <t>Matt 2B</t>
  </si>
  <si>
    <t>Joseph Leads Mary and Jesus into Egypt</t>
  </si>
  <si>
    <t>Matt 2C</t>
  </si>
  <si>
    <t>The Children of Bethlehem Are Massacred</t>
  </si>
  <si>
    <t>Matt 6</t>
  </si>
  <si>
    <t>The Sermon on the Mount</t>
  </si>
  <si>
    <t>Matt 12</t>
  </si>
  <si>
    <t>Matt 14A</t>
  </si>
  <si>
    <t>Herod's Daughter Receives the Head of John the Baptist</t>
  </si>
  <si>
    <t>Matt 14B</t>
  </si>
  <si>
    <t>Jesus Feeds the Multitudes</t>
  </si>
  <si>
    <t>Matt 15</t>
  </si>
  <si>
    <t>Jesus Heals the Sick</t>
  </si>
  <si>
    <t>Matt 17</t>
  </si>
  <si>
    <t>Jesus Heals the Epileptic Demoniac</t>
  </si>
  <si>
    <t>Matt 21</t>
  </si>
  <si>
    <t>Jesus Enters into Jerusalem</t>
  </si>
  <si>
    <t>Matt 22</t>
  </si>
  <si>
    <t>Jesus Replies about the Tribute Money</t>
  </si>
  <si>
    <t>Matt 26</t>
  </si>
  <si>
    <t>Jesus Prays in the Garden</t>
  </si>
  <si>
    <t>Matt 27A (or John 19B)</t>
  </si>
  <si>
    <t>Matt 27B</t>
  </si>
  <si>
    <t>Matt 27C (or Luke 23B)</t>
  </si>
  <si>
    <t>The Crucifixion of Jesus and Two Criminals</t>
  </si>
  <si>
    <t>Matt 28</t>
  </si>
  <si>
    <t>The Angel and Women at the Empty Tomb</t>
  </si>
  <si>
    <t>Mark 1A</t>
  </si>
  <si>
    <t>John the Baptist Preaches in the Wilderness</t>
  </si>
  <si>
    <t>Mark 1B (or Matt 13)</t>
  </si>
  <si>
    <t>Jesus Preaches in the Synagogue</t>
  </si>
  <si>
    <t>Mark 2</t>
  </si>
  <si>
    <t>The Disciples Pluck Grain on the Sabbath</t>
  </si>
  <si>
    <t>Mark 4</t>
  </si>
  <si>
    <t>Mark 9</t>
  </si>
  <si>
    <t>The Transfiguration</t>
  </si>
  <si>
    <t>Mark 10</t>
  </si>
  <si>
    <t>Jesus Blesses the Little Children</t>
  </si>
  <si>
    <t>Mark 12</t>
  </si>
  <si>
    <t>The Widow's Mite</t>
  </si>
  <si>
    <t>Mark 14</t>
  </si>
  <si>
    <t>Judas Betrays Jesus</t>
  </si>
  <si>
    <t>Mark 15A (or John 19A)</t>
  </si>
  <si>
    <t>Mark 15B</t>
  </si>
  <si>
    <t>Jesus Falls Beneath the Cross</t>
  </si>
  <si>
    <t>Mark 15C</t>
  </si>
  <si>
    <t>Luke 1</t>
  </si>
  <si>
    <t>The Annunciation</t>
  </si>
  <si>
    <t>Luke 2A</t>
  </si>
  <si>
    <t>The Birth of Jesus</t>
  </si>
  <si>
    <t>Luke 2B</t>
  </si>
  <si>
    <t>Jesus Questions the Doctors</t>
  </si>
  <si>
    <t>Luke 4A</t>
  </si>
  <si>
    <t>The Temptation of Jesus</t>
  </si>
  <si>
    <t>Luke 4B</t>
  </si>
  <si>
    <t>Jesus Heals a Demoniac</t>
  </si>
  <si>
    <t>Luke 5</t>
  </si>
  <si>
    <t>Jesus Preaches at the Sea of Galilee</t>
  </si>
  <si>
    <t>Luke 7</t>
  </si>
  <si>
    <t>A Sinful Woman Repents</t>
  </si>
  <si>
    <t>Luke 8</t>
  </si>
  <si>
    <t>Jesus Raises the Daughter of Jairus</t>
  </si>
  <si>
    <t>Luke 10A</t>
  </si>
  <si>
    <t>The Parable of the Good Samaritan</t>
  </si>
  <si>
    <t>Luke 10B</t>
  </si>
  <si>
    <t>The Good Samaritan Arrives at the Inn</t>
  </si>
  <si>
    <t>Luke 10C</t>
  </si>
  <si>
    <t>Jesus at the House of Martha and Mary</t>
  </si>
  <si>
    <t>Luke 12</t>
  </si>
  <si>
    <t>Jesus Preaches to the Multitude</t>
  </si>
  <si>
    <t>Luke 15A</t>
  </si>
  <si>
    <t>The Prodigal Son Returns Home</t>
  </si>
  <si>
    <t>Luke 15B</t>
  </si>
  <si>
    <t>The Prodigal Son in His Father's Arms</t>
  </si>
  <si>
    <t>Luke 16</t>
  </si>
  <si>
    <t>Lazarus outside the Rich Man's House</t>
  </si>
  <si>
    <t>Luke 18</t>
  </si>
  <si>
    <t>The Pharisee and the Publican</t>
  </si>
  <si>
    <t>Luke 19</t>
  </si>
  <si>
    <t>Buyers and Sellers Are Driven Out of the Temple</t>
  </si>
  <si>
    <t>Luke 22</t>
  </si>
  <si>
    <t>An Angel Appears to Jesus in the Garden</t>
  </si>
  <si>
    <t>Luke 23A</t>
  </si>
  <si>
    <t>Jesus Arrives at Calvary</t>
  </si>
  <si>
    <t>Luke 23B (or Matt 27A)</t>
  </si>
  <si>
    <t>Luke 23C</t>
  </si>
  <si>
    <t>Darkness at the Crucifixion</t>
  </si>
  <si>
    <t>Luke 24A</t>
  </si>
  <si>
    <t>Jesus and Two Disciples Go to Emmaus</t>
  </si>
  <si>
    <t>Luke 24B</t>
  </si>
  <si>
    <t>Jesus Ascends to Heaven</t>
  </si>
  <si>
    <t>John 1 (or Matt 3)</t>
  </si>
  <si>
    <t>The Baptism of Jesus</t>
  </si>
  <si>
    <t>John 2</t>
  </si>
  <si>
    <t>The Wedding at Cana</t>
  </si>
  <si>
    <t>John 4</t>
  </si>
  <si>
    <t>Jesus and the Woman of Samaria</t>
  </si>
  <si>
    <t>John 6</t>
  </si>
  <si>
    <t>Jesus Walks on the Sea</t>
  </si>
  <si>
    <t>John 8</t>
  </si>
  <si>
    <t>Jesus and the Woman Taken in Adultery</t>
  </si>
  <si>
    <t>John 11</t>
  </si>
  <si>
    <t>The Raising of Lazarus</t>
  </si>
  <si>
    <t>John 13</t>
  </si>
  <si>
    <t>The Last Supper</t>
  </si>
  <si>
    <t>John 18</t>
  </si>
  <si>
    <t>Peter Denies Knowing Jesus</t>
  </si>
  <si>
    <t>John 19C</t>
  </si>
  <si>
    <t>John 19D</t>
  </si>
  <si>
    <t>John 19E</t>
  </si>
  <si>
    <t>Disciples Mourn over the Dead Jesus</t>
  </si>
  <si>
    <t>John 19F</t>
  </si>
  <si>
    <t>John 21</t>
  </si>
  <si>
    <t>The Miraculous Catch of Fish</t>
  </si>
  <si>
    <t>Acts 2A</t>
  </si>
  <si>
    <t>The Holy Spirit Descends on the Disciples</t>
  </si>
  <si>
    <t>Acts 2B</t>
  </si>
  <si>
    <t>The Apostles Preach the Gospel</t>
  </si>
  <si>
    <t>Acts 3</t>
  </si>
  <si>
    <t>Peter and John at the Beautiful Gate</t>
  </si>
  <si>
    <t>Acts 5</t>
  </si>
  <si>
    <t>The Death of Ananias</t>
  </si>
  <si>
    <t>Acts 7</t>
  </si>
  <si>
    <t>Acts 9</t>
  </si>
  <si>
    <t>The Conversion of Saul</t>
  </si>
  <si>
    <t>Acts 10</t>
  </si>
  <si>
    <t>Peter Preaches in the House of Cornelius</t>
  </si>
  <si>
    <t>Acts 12</t>
  </si>
  <si>
    <t>Acts 17 (or 1 Thess 2)</t>
  </si>
  <si>
    <t>Paul Preaches to the Thessalonians</t>
  </si>
  <si>
    <t>Acts 19</t>
  </si>
  <si>
    <t>Paul Preaches at Ephesus</t>
  </si>
  <si>
    <t>Acts 21</t>
  </si>
  <si>
    <t>Acts 27</t>
  </si>
  <si>
    <t>Rev 1</t>
  </si>
  <si>
    <t>John on Patmos</t>
  </si>
  <si>
    <t>Rev 6</t>
  </si>
  <si>
    <t>The Pale Horse of Death</t>
  </si>
  <si>
    <t>Rev 12</t>
  </si>
  <si>
    <t>Rev 18</t>
  </si>
  <si>
    <t>Babylon Has Fallen</t>
  </si>
  <si>
    <t>Rev 20</t>
  </si>
  <si>
    <t>The Last Judgment</t>
  </si>
  <si>
    <t>Rev 21</t>
  </si>
  <si>
    <t>The New Jerusalem</t>
  </si>
  <si>
    <t>CAPTION</t>
  </si>
  <si>
    <t>Rizpah's Kindness toward the Dead</t>
  </si>
  <si>
    <t>Ezekiel's Vision of the Valley of Dry Bones</t>
  </si>
  <si>
    <t>Shadrach, Meshach, and Abednego in the Furnace</t>
  </si>
  <si>
    <t>The Martyrdom of Stephen</t>
  </si>
  <si>
    <t>The Ark is Returned to Beth-shemesh</t>
  </si>
  <si>
    <t>The World is Destroyed by Water</t>
  </si>
  <si>
    <t>A Dove is Sent Forth from the Ark</t>
  </si>
  <si>
    <t>Joseph is Sold by His Brothers</t>
  </si>
  <si>
    <t>Achan is Stoned to Death</t>
  </si>
  <si>
    <t>The Army of the Amorites is Destroyed</t>
  </si>
  <si>
    <t>The Disobedient Prophet is Slain by a Lion</t>
  </si>
  <si>
    <t>Elijah is Nourished by an Angel</t>
  </si>
  <si>
    <t>Sennacherib's Army is Destroyed</t>
  </si>
  <si>
    <t>The Rebuilding of the Temple is Begun</t>
  </si>
  <si>
    <t>Heliodorus is Cast Down</t>
  </si>
  <si>
    <t>The Angel is Sent to Deliver Israel</t>
  </si>
  <si>
    <t>Jonah is Spewed Forth by the Whale</t>
  </si>
  <si>
    <t>Jesus is Crowned with Thorns</t>
  </si>
  <si>
    <t>Jesus is Mocked</t>
  </si>
  <si>
    <t>Jesus is Scourged</t>
  </si>
  <si>
    <t>Jesus' Body is Removed from the Cross</t>
  </si>
  <si>
    <t>The Cross is Lifted Up</t>
  </si>
  <si>
    <t>Jesus is Presented to the People</t>
  </si>
  <si>
    <t>Jesus is Nailed to the Cross</t>
  </si>
  <si>
    <t>Jesus is Buried in the Tomb</t>
  </si>
  <si>
    <t>Peter is Delivered from Prison</t>
  </si>
  <si>
    <t>Paul is Rescued from the Crowd</t>
  </si>
  <si>
    <t>Paul is Shipwrecked</t>
  </si>
  <si>
    <t>The Virgin is Crowned</t>
  </si>
  <si>
    <t>BOOK</t>
  </si>
  <si>
    <t>FILE</t>
  </si>
  <si>
    <t>Jesus Heals a Blind Man</t>
  </si>
  <si>
    <t>Jesus Stills the Storm</t>
  </si>
  <si>
    <t>1CH</t>
  </si>
  <si>
    <t>1KI</t>
  </si>
  <si>
    <t>XXX</t>
  </si>
  <si>
    <t>1SA</t>
  </si>
  <si>
    <t>2CH</t>
  </si>
  <si>
    <t>2KI</t>
  </si>
  <si>
    <t>2SA</t>
  </si>
  <si>
    <t>ACT</t>
  </si>
  <si>
    <t>AMO</t>
  </si>
  <si>
    <t>DAN</t>
  </si>
  <si>
    <t>EST</t>
  </si>
  <si>
    <t>EXO</t>
  </si>
  <si>
    <t>EZE</t>
  </si>
  <si>
    <t>EZR</t>
  </si>
  <si>
    <t>GEN</t>
  </si>
  <si>
    <t>ISA</t>
  </si>
  <si>
    <t>JER</t>
  </si>
  <si>
    <t>JOB</t>
  </si>
  <si>
    <t>JOH</t>
  </si>
  <si>
    <t>JON</t>
  </si>
  <si>
    <t>JOS</t>
  </si>
  <si>
    <t>JUD</t>
  </si>
  <si>
    <t>JDG</t>
  </si>
  <si>
    <t>LUK</t>
  </si>
  <si>
    <t>MAR</t>
  </si>
  <si>
    <t>MAT</t>
  </si>
  <si>
    <t>MIC</t>
  </si>
  <si>
    <t>NEH</t>
  </si>
  <si>
    <t>NUM</t>
  </si>
  <si>
    <t>REV</t>
  </si>
  <si>
    <t>RUT</t>
  </si>
  <si>
    <t>ZEC</t>
  </si>
  <si>
    <t>INDEX</t>
  </si>
  <si>
    <t>LEV</t>
  </si>
  <si>
    <t>DEU</t>
  </si>
  <si>
    <t>PSA</t>
  </si>
  <si>
    <t>PRO</t>
  </si>
  <si>
    <t>ECC</t>
  </si>
  <si>
    <t>SOL</t>
  </si>
  <si>
    <t>LAM</t>
  </si>
  <si>
    <t>HOS</t>
  </si>
  <si>
    <t>JOE</t>
  </si>
  <si>
    <t>OBA</t>
  </si>
  <si>
    <t>NAH</t>
  </si>
  <si>
    <t>HAB</t>
  </si>
  <si>
    <t>ZEP</t>
  </si>
  <si>
    <t>HAG</t>
  </si>
  <si>
    <t>MAL</t>
  </si>
  <si>
    <t>ROM</t>
  </si>
  <si>
    <t>1CO</t>
  </si>
  <si>
    <t>2CO</t>
  </si>
  <si>
    <t>GAL</t>
  </si>
  <si>
    <t>EPH</t>
  </si>
  <si>
    <t>PHI</t>
  </si>
  <si>
    <t>COL</t>
  </si>
  <si>
    <t>1TH</t>
  </si>
  <si>
    <t>2TH</t>
  </si>
  <si>
    <t>1TI</t>
  </si>
  <si>
    <t>2TI</t>
  </si>
  <si>
    <t>TIT</t>
  </si>
  <si>
    <t>PHM</t>
  </si>
  <si>
    <t>HEB</t>
  </si>
  <si>
    <t>JAM</t>
  </si>
  <si>
    <t>1PE</t>
  </si>
  <si>
    <t>2PE</t>
  </si>
  <si>
    <t>1JO</t>
  </si>
  <si>
    <t>2JO</t>
  </si>
  <si>
    <t>3JO</t>
  </si>
  <si>
    <t>Genesis</t>
  </si>
  <si>
    <t>Exodus</t>
  </si>
  <si>
    <t>Leviticus</t>
  </si>
  <si>
    <t>Numbers</t>
  </si>
  <si>
    <t>Deuteronomy</t>
  </si>
  <si>
    <t>Joshua</t>
  </si>
  <si>
    <t>Judges</t>
  </si>
  <si>
    <t>Ruth</t>
  </si>
  <si>
    <t>1 Samuel</t>
  </si>
  <si>
    <t>2 Samuel</t>
  </si>
  <si>
    <t>1 Kings</t>
  </si>
  <si>
    <t>2 Kings</t>
  </si>
  <si>
    <t>1 Chronicles</t>
  </si>
  <si>
    <t>2 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</si>
  <si>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</si>
  <si>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</si>
  <si>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</si>
  <si>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</si>
  <si>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</si>
  <si>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</si>
  <si>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</si>
  <si>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</si>
  <si>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</si>
  <si>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</si>
  <si>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</si>
  <si>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Ezekiel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</si>
  <si>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</si>
  <si>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</si>
  <si>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</si>
  <si>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</si>
  <si>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</si>
  <si>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</si>
  <si>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</si>
  <si>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</si>
  <si>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</si>
  <si>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</si>
  <si>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</si>
  <si>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</si>
  <si>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</si>
  <si>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</si>
  <si>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</si>
  <si>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</si>
  <si>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</si>
  <si>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</si>
  <si>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</si>
  <si>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</si>
  <si>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</si>
  <si>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</si>
  <si>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</si>
  <si>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</si>
  <si>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</si>
  <si>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</si>
  <si>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</si>
  <si>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</si>
  <si>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</si>
  <si>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</si>
  <si>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</si>
  <si>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</si>
  <si>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</si>
  <si>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</si>
  <si>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</si>
  <si>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</si>
  <si>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</si>
  <si>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</si>
  <si>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</si>
  <si>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</si>
  <si>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>X Tobit 6</t>
  </si>
  <si>
    <t>X Tobit 12</t>
  </si>
  <si>
    <t>X Judith 13A</t>
  </si>
  <si>
    <t>X Judith 13B</t>
  </si>
  <si>
    <t>X Esther 15</t>
  </si>
  <si>
    <t>X Baruch 1</t>
  </si>
  <si>
    <t>X Dan 13A</t>
  </si>
  <si>
    <t>X Dan 13B</t>
  </si>
  <si>
    <t>X Dan 14</t>
  </si>
  <si>
    <t>X 1Macc 2A</t>
  </si>
  <si>
    <t>X 1Macc 2B</t>
  </si>
  <si>
    <t>X 1Macc 5</t>
  </si>
  <si>
    <t>X 1Macc 6</t>
  </si>
  <si>
    <t>X 1Macc 10</t>
  </si>
  <si>
    <t>X 2Macc 3</t>
  </si>
  <si>
    <t>X 2Macc 5</t>
  </si>
  <si>
    <t>X 2Macc 6</t>
  </si>
  <si>
    <t>X 2Macc 7</t>
  </si>
  <si>
    <t>X 2Macc 9</t>
  </si>
  <si>
    <t>X 2Macc 11</t>
  </si>
  <si>
    <t>X 2Macc 15</t>
  </si>
  <si>
    <t>COPY</t>
  </si>
  <si>
    <t>CHAP</t>
  </si>
  <si>
    <t>MULT</t>
  </si>
  <si>
    <t>OBOOK</t>
  </si>
  <si>
    <t>OINDEX</t>
  </si>
  <si>
    <t>OCHAP</t>
  </si>
  <si>
    <t>NEX</t>
  </si>
  <si>
    <t>EXT</t>
  </si>
  <si>
    <t>PHP</t>
  </si>
  <si>
    <t>Hebrew-OT-001-The-Creation-of-Light</t>
  </si>
  <si>
    <t>Hebrew-OT-002-The-Creation-of-Eve</t>
  </si>
  <si>
    <t>Hebrew-OT-003-Adam-and-Eve-Are-Driven-out-of-Eden</t>
  </si>
  <si>
    <t>Hebrew-OT-004-Cain-and-Abel-Offer-Their-Sacrifices</t>
  </si>
  <si>
    <t>Hebrew-OT-005-Cain-Slays-Abel</t>
  </si>
  <si>
    <t>Hebrew-OT-006-The-World-is-Destroyed-by-Water</t>
  </si>
  <si>
    <t>Hebrew-OT-007-The-Great-Flood</t>
  </si>
  <si>
    <t>Hebrew-OT-008-A-Dove-is-Sent-Forth-from-the-Ark</t>
  </si>
  <si>
    <t>Hebrew-OT-009-Noah-Curses-Ham-and-Canaan</t>
  </si>
  <si>
    <t>Hebrew-OT-010-The-Tower-of-Babel</t>
  </si>
  <si>
    <t>Hebrew-OT-011-Abraham-Goes-to-the-Land-of-Canaan</t>
  </si>
  <si>
    <t>Hebrew-OT-012-Abraham-and-the-Three-Angels</t>
  </si>
  <si>
    <t>Hebrew-OT-013-Lot-Flees-as-Sodom-and-Gomorrah-Burn</t>
  </si>
  <si>
    <t>Hebrew-OT-014-Abraham-Sends-Hagar-and-Ishmael-Away</t>
  </si>
  <si>
    <t>Hebrew-OT-015-Hagar-and-Ishmael-in-the-Wilderness</t>
  </si>
  <si>
    <t>Hebrew-OT-016-The-Testing-of-Abrahams-Faith</t>
  </si>
  <si>
    <t>Hebrew-OT-017-The-Burial-of-Sarah</t>
  </si>
  <si>
    <t>Hebrew-OT-018-Eliezer-and-Rebekah-at-the-Well</t>
  </si>
  <si>
    <t>Hebrew-OT-019-The-Meeting-of-Isaac-and-Rebekah</t>
  </si>
  <si>
    <t>Hebrew-OT-020-Isaac-Blesses-Jacob</t>
  </si>
  <si>
    <t>Hebrew-OT-021-Jacobs-Dream</t>
  </si>
  <si>
    <t>Hebrew-OT-022-Jacob-Tends-Labans-Flocks-and-Meets-Rachel</t>
  </si>
  <si>
    <t>Hebrew-OT-023-Jacob-Prays-for-Protection</t>
  </si>
  <si>
    <t>Hebrew-OT-024-Jacob-Wrestles-with-the-Angel</t>
  </si>
  <si>
    <t>Hebrew-OT-025-Jacob-and-Esau-Meet</t>
  </si>
  <si>
    <t>Hebrew-OT-026-Joseph-is-Sold-by-His-Brothers</t>
  </si>
  <si>
    <t>Hebrew-OT-027-Joseph-Interprets-Pharaohs-Dream</t>
  </si>
  <si>
    <t>Hebrew-OT-028-Joseph-Reveals-Himself-to-His-Brothers</t>
  </si>
  <si>
    <t>Hebrew-OT-029-Jacob-Goes-to-Egypt</t>
  </si>
  <si>
    <t>Hebrew-OT-030-The-Child-Moses-on-the-Nile</t>
  </si>
  <si>
    <t>Hebrew-OT-031-The-Finding-of-Moses</t>
  </si>
  <si>
    <t>Hebrew-OT-032-Moses-and-Aaron-Appear-before-Pharaoh</t>
  </si>
  <si>
    <t>Hebrew-OT-033-The-Fifth-Plague-Livestock-Disease</t>
  </si>
  <si>
    <t>Hebrew-OT-034-The-Ninth-Plague-Darkness</t>
  </si>
  <si>
    <t>Hebrew-OT-035-The-Firstborn-of-the-Egyptians-Are-Slain</t>
  </si>
  <si>
    <t>Hebrew-OT-036-The-Egyptians-Ask-Moses-to-Depart</t>
  </si>
  <si>
    <t>Hebrew-OT-037-The-Egyptians-Drown-in-the-Sea</t>
  </si>
  <si>
    <t>Hebrew-OT-038-Moses-Strikes-the-Rock-at-Horeb</t>
  </si>
  <si>
    <t>Hebrew-OT-039-The-Giving-of-the-Law-on-Mount-Sinai</t>
  </si>
  <si>
    <t>Hebrew-OT-040-Moses-Comes-Down-from-Mount-Sinai</t>
  </si>
  <si>
    <t>Hebrew-OT-041-Moses-Breaks-the-Tables-of-the-Law</t>
  </si>
  <si>
    <t>Hebrew-OT-042-The-Spies-Return-from-the-Promised-Land</t>
  </si>
  <si>
    <t>Hebrew-OT-043-The-Death-of-Korah-Dathan-and-Abiram</t>
  </si>
  <si>
    <t>Hebrew-OT-044-The-Bronze-Serpent</t>
  </si>
  <si>
    <t>Hebrew-OT-045-An-Angel-Appears-to-Balaam</t>
  </si>
  <si>
    <t>Hebrew-OT-046-The-Israelites-Cross-the-Jordan-River</t>
  </si>
  <si>
    <t>Hebrew-OT-048-The-Walls-of-Jericho-Fall-Down</t>
  </si>
  <si>
    <t>Hebrew-OT-049-Joshua-Spares-Rahab</t>
  </si>
  <si>
    <t>Hebrew-OT-050-Achan-is-Stoned-to-Death</t>
  </si>
  <si>
    <t>Hebrew-OT-051-Joshua-Burns-the-Town-of-Ai</t>
  </si>
  <si>
    <t>Hebrew-OT-052-The-Army-of-the-Amorites-is-Destroyed</t>
  </si>
  <si>
    <t>Hebrew-OT-053-Joshua-Commands-the-Sun-to-Stand-Still</t>
  </si>
  <si>
    <t>Hebrew-OT-047-An-Angel-Appears-to-the-Israelites</t>
  </si>
  <si>
    <t>Hebrew-OT-054-Jael-Kills-Sisera</t>
  </si>
  <si>
    <t>Hebrew-OT-055-Deborah-Praises-Jael</t>
  </si>
  <si>
    <t>Hebrew-OT-056-Gideon-Chooses-300-Soldiers</t>
  </si>
  <si>
    <t>Hebrew-OT-057-The-Midianites-Are-Routed</t>
  </si>
  <si>
    <t>Hebrew-OT-058-The-Death-of-Gideons-Sons</t>
  </si>
  <si>
    <t>Hebrew-OT-059-The-Death-of-Abimelech</t>
  </si>
  <si>
    <t>Hebrew-OT-060-Jephthahs-Daughter-Comes-to-Meet-Her-Father</t>
  </si>
  <si>
    <t>Hebrew-OT-061-Israelite-Women-Mourn-with-Jephthahs-Daughter</t>
  </si>
  <si>
    <t>Hebrew-OT-062-Samson-Slays-a-Lion</t>
  </si>
  <si>
    <t>Hebrew-OT-063-Samson-Destroys-the-Philistines-with-an-Ass-Jawbone</t>
  </si>
  <si>
    <t>Hebrew-OT-064-Samson-Carries-away-the-Gates-of-Gaza</t>
  </si>
  <si>
    <t>Hebrew-OT-065-Samson-and-Delilah</t>
  </si>
  <si>
    <t>Hebrew-OT-066-The-Death-of-Samson</t>
  </si>
  <si>
    <t>Hebrew-OT-067-A-Levite-Finds-a-Womans-Corpse</t>
  </si>
  <si>
    <t>Hebrew-OT-068-The-Levite-Carries-the-Womans-Body-Away</t>
  </si>
  <si>
    <t>Hebrew-OT-069-The-Benjaminites-Take-the-Virgins-of-Jabesh-gilead</t>
  </si>
  <si>
    <t>Hebrew-OT-070-Naomi-and-Her-Daughters-in-Law</t>
  </si>
  <si>
    <t>Hebrew-OT-071-Ruth-and-Boaz</t>
  </si>
  <si>
    <t>Hebrew-OT-072-The-Ark-is-Returned-to-Beth-shemesh</t>
  </si>
  <si>
    <t>Hebrew-OT-073-Samuel-Blesses-Saul</t>
  </si>
  <si>
    <t>Hebrew-OT-074-The-Death-of-Agag</t>
  </si>
  <si>
    <t>Hebrew-OT-075-David-Slays-Goliath</t>
  </si>
  <si>
    <t>Hebrew-OT-076-Saul-Attempts-to-Kill-David</t>
  </si>
  <si>
    <t>Hebrew-OT-077-David-Escapes-through-a-Window</t>
  </si>
  <si>
    <t>Hebrew-OT-078-David-and-Jonathan</t>
  </si>
  <si>
    <t>Hebrew-OT-079-David-Shows-Saul-How-He-Spared-His-Life</t>
  </si>
  <si>
    <t>Hebrew-OT-080-Saul-and-the-Witch-of-Endor</t>
  </si>
  <si>
    <t>Hebrew-OT-081-The-Death-of-Saul</t>
  </si>
  <si>
    <t>Hebrew-OT-083-Combat-between-Soldiers-of-Ish-bosheth-and-David</t>
  </si>
  <si>
    <t>Hebrew-OT-084-David-Attacks-the-Ammonites</t>
  </si>
  <si>
    <t>Hebrew-OT-085-The-Death-of-Absalom</t>
  </si>
  <si>
    <t>Hebrew-OT-086-David-Mourns-the-Death-of-Absalom</t>
  </si>
  <si>
    <t>Hebrew-OT-087-Rizpahs-Kindness-toward-the-Dead</t>
  </si>
  <si>
    <t>Hebrew-OT-089-Abishai-Saves-Davids-Life</t>
  </si>
  <si>
    <t>Hebrew-OT-090-The-Judgment-of-Solomon</t>
  </si>
  <si>
    <t>Hebrew-OT-091-Cedars-Are-Cut-Down-for-the-Jerusalem-Temple</t>
  </si>
  <si>
    <t>Hebrew-OT-094-The-Disobedient-Prophet-is-Slain-by-a-Lion</t>
  </si>
  <si>
    <t>Hebrew-OT-095-Elijah-Raises-the-Son-of-the-Widow-of-Zarephath</t>
  </si>
  <si>
    <t>Hebrew-OT-096-The-Prophets-of-Baal-Are-Slaughtered</t>
  </si>
  <si>
    <t>Hebrew-OT-097-Elijah-is-Nourished-by-an-Angel</t>
  </si>
  <si>
    <t>Hebrew-OT-098-The-Israelites-Slaughter-the-Syrians</t>
  </si>
  <si>
    <t>Hebrew-OT-100-The-Death-of-Ahab</t>
  </si>
  <si>
    <t>Hebrew-OT-101-Elijah-Destroys-the-Messengers-of-Ahaziah</t>
  </si>
  <si>
    <t>Hebrew-OT-102-Elijah-Ascends-to-Heaven-in-a-Chariot-of-Fire</t>
  </si>
  <si>
    <t>Hebrew-OT-103-Some-Children-Are-Destroyed-by-Bears</t>
  </si>
  <si>
    <t>Hebrew-OT-104-A-Famine-in-Samaria</t>
  </si>
  <si>
    <t>Hebrew-OT-105-The-Death-of-Jezebel</t>
  </si>
  <si>
    <t>Hebrew-OT-106-Jehus-Companions-Find-Jezebels-Remains</t>
  </si>
  <si>
    <t>Hebrew-OT-108-Foreign-Nations-Are-Slain-by-Lions-in-Samaria</t>
  </si>
  <si>
    <t>Hebrew-OT-112-Sennacheribs-Army-is-Destroyed</t>
  </si>
  <si>
    <t>Hebrew-OT-113-Zedekiahs-Sons-Are-Slaughtered-before-His-Eyes</t>
  </si>
  <si>
    <t>Hebrew-OT-082-Jabesh-Gileadites-Recover-the-Bodies-of-Saul-and-His-Sons</t>
  </si>
  <si>
    <t>Hebrew-OT-088-The-Plague-of-Jerusalem</t>
  </si>
  <si>
    <t>Hebrew-OT-092-Solomon-Receives-the-Queen-of-Sheba</t>
  </si>
  <si>
    <t>Hebrew-OT-093-King-Solomon-in-Old-Age</t>
  </si>
  <si>
    <t>Hebrew-OT-099-The-Ammonite-and-Moabite-Armies-Are-Destroyed</t>
  </si>
  <si>
    <t>Hebrew-OT-107-The-Death-of-Athaliah</t>
  </si>
  <si>
    <t>Hebrew-OT-130-Cyrus-Restores-the-Vessels-of-the-Temple</t>
  </si>
  <si>
    <t>Hebrew-OT-135-The-Rebuilding-of-the-Temple-is-Begun</t>
  </si>
  <si>
    <t>Hebrew-OT-131-Artaxerxes-Grants-Freedom-to-the-Jews</t>
  </si>
  <si>
    <t>Hebrew-OT-132-Ezra-Kneels-in-Prayer</t>
  </si>
  <si>
    <t>Hebrew-OT-134-Nehemiah-Views-the-Ruins-of-Jerusalems-Walls</t>
  </si>
  <si>
    <t>Hebrew-OT-133-Ezra-Reads-the-Law-to-the-People</t>
  </si>
  <si>
    <t>Hebrew-OT-119-Queen-Vashti-Refuses-to-Obey-Ahasuerus-Command</t>
  </si>
  <si>
    <t>Hebrew-OT-120-The-Triumph-of-Mordecai</t>
  </si>
  <si>
    <t>Hebrew-OT-121-Esther-Accuses-Haman</t>
  </si>
  <si>
    <t>Hebrew-OT-136-Job-Hears-of-His-Misfortunes</t>
  </si>
  <si>
    <t>Hebrew-OT-137-Job-Speaks-with-His-Friends</t>
  </si>
  <si>
    <t>Hebrew-OT-110-The-Prophet-Isaiah</t>
  </si>
  <si>
    <t>Hebrew-OT-127-Isaiahs-Vision-of-the-Destruction-of-Babylon</t>
  </si>
  <si>
    <t>Hebrew-OT-128-The-Destruction-of-Leviathan</t>
  </si>
  <si>
    <t>Hebrew-OT-114-The-Prophet-Jeremiah</t>
  </si>
  <si>
    <t>Hebrew-OT-115-Baruch-Writes-Jeremiahs-Prophecies</t>
  </si>
  <si>
    <t>Hebrew-OT-116-People-Mourn-over-the-Destruction-of-Jerusalem</t>
  </si>
  <si>
    <t>Hebrew-OT-117-The-Prophet-Ezekiel</t>
  </si>
  <si>
    <t>Hebrew-OT-118-Ezekiels-Vision-of-the-Valley-of-Dry-Bones</t>
  </si>
  <si>
    <t>Hebrew-OT-122-Daniel-among-the-Exiles</t>
  </si>
  <si>
    <t>Hebrew-OT-123-Shadrach-Meshach-and-Abednego-in-the-Furnace</t>
  </si>
  <si>
    <t>Hebrew-OT-124-Daniel-Interprets-the-Writing-on-the-Wall</t>
  </si>
  <si>
    <t>Hebrew-OT-125-Daniel-in-the-Lions-Den</t>
  </si>
  <si>
    <t>Hebrew-OT-126-Daniels-Vision-of-the-Four-Beasts</t>
  </si>
  <si>
    <t>Hebrew-OT-109-The-Prophet-Amos</t>
  </si>
  <si>
    <t>Hebrew-OT-138-Jonah-is-Spewed-Forth-by-the-Whale</t>
  </si>
  <si>
    <t>Hebrew-OT-139-Jonah-Preaches-to-the-Ninevites</t>
  </si>
  <si>
    <t>Hebrew-OT-111-Micah-Exhorts-the-Israelites-to-Repent</t>
  </si>
  <si>
    <t>Hebrew-OT-129-Zechariahs-Vision-of-Four-Chariots</t>
  </si>
  <si>
    <t>NT-Gospel-161-The-Annunciation</t>
  </si>
  <si>
    <t>NT-Gospel-162-The-Birth-of-Jesus</t>
  </si>
  <si>
    <t>NT-Gospel-163-Wise-Men-Are-Guided-by-a-Star</t>
  </si>
  <si>
    <t>NT-Gospel-164-Joseph-Leads-Mary-and-Jesus-into-Egypt</t>
  </si>
  <si>
    <t>NT-Gospel-165-The-Children-of-Bethlehem-Are-Massacred</t>
  </si>
  <si>
    <t>NT-Gospel-167-John-the-Baptist-Preaches-in-the-Wilderness</t>
  </si>
  <si>
    <t>NT-Gospel-168-The-Baptism-of-Jesus</t>
  </si>
  <si>
    <t>NT-Gospel-169-The-Temptation-of-Jesus</t>
  </si>
  <si>
    <t>NT-Gospel-172-Jesus-Preaches-in-the-Synagogue</t>
  </si>
  <si>
    <t>NT-Gospel-173-Jesus-Heals-a-Demoniac</t>
  </si>
  <si>
    <t>NT-Gospel-183-Jesus-Preaches-to-the-Multitude</t>
  </si>
  <si>
    <t>NT-Gospel-186-Jesus-Heals-the-Sick</t>
  </si>
  <si>
    <t>NT-Gospel-175-The-Sermon-on-the-Mount</t>
  </si>
  <si>
    <t>NT-Gospel-179-Jesus-Stills-the-Storm</t>
  </si>
  <si>
    <t>NT-Gospel-176-The-Disciples-Pluck-Grain-on-the-Sabbath</t>
  </si>
  <si>
    <t>NT-Gospel-178-Jesus-Heals-a-Blind-Man</t>
  </si>
  <si>
    <t>NT-Gospel-174-Jesus-Preaches-at-the-Sea-of-Galilee</t>
  </si>
  <si>
    <t>NT-Gospel-182-Herods-Daughter-Receives-the-Head-of-John-the-Baptist</t>
  </si>
  <si>
    <t>NT-Gospel-184-Jesus-Feeds-the-Multitudes</t>
  </si>
  <si>
    <t>NT-Gospel-185-Jesus-Walks-on-the-Sea</t>
  </si>
  <si>
    <t>NT-Gospel-187-The-Transfiguration</t>
  </si>
  <si>
    <t>NT-Gospel-188-Jesus-Heals-the-Epileptic-Demoniac</t>
  </si>
  <si>
    <t>NT-Gospel-192-Jesus-Blesses-the-Little-Children</t>
  </si>
  <si>
    <t>NT-Gospel-198-Jesus-Enters-into-Jerusalem</t>
  </si>
  <si>
    <t>NT-Gospel-199-Buyers-and-Sellers-Are-Driven-Out-of-the-Temple</t>
  </si>
  <si>
    <t>NT-Gospel-200-Jesus-Replies-about-the-Tribute-Money</t>
  </si>
  <si>
    <t>NT-Gospel-202-The-Last-Supper</t>
  </si>
  <si>
    <t>NT-Gospel-203-Jesus-Prays-in-the-Garden</t>
  </si>
  <si>
    <t>NT-Gospel-204-An-Angel-Appears-to-Jesus-in-the-Garden</t>
  </si>
  <si>
    <t>NT-Gospel-205-Judas-Betrays-Jesus</t>
  </si>
  <si>
    <t>NT-Gospel-206-Peter-Denies-Knowing-Jesus</t>
  </si>
  <si>
    <t>NT-Gospel-207-Jesus-is-Scourged</t>
  </si>
  <si>
    <t>NT-Gospel-208-Jesus-is-Crowned-with-Thorns</t>
  </si>
  <si>
    <t>NT-Gospel-209-Jesus-is-Mocked</t>
  </si>
  <si>
    <t>NT-Gospel-210-Jesus-is-Presented-to-the-People</t>
  </si>
  <si>
    <t>NT-Gospel-211-Jesus-Falls-Beneath-the-Cross</t>
  </si>
  <si>
    <t>NT-Gospel-212-Jesus-Arrives-at-Calvary</t>
  </si>
  <si>
    <t>NT-Gospel-213-Jesus-is-Nailed-to-the-Cross</t>
  </si>
  <si>
    <t>NT-Gospel-214-The-Cross-is-Lifted-Up</t>
  </si>
  <si>
    <t>NT-Gospel-215-The-Crucifixion-of-Jesus-and-Two-Criminals</t>
  </si>
  <si>
    <t>NT-Gospel-216-Darkness-at-the-Crucifixion</t>
  </si>
  <si>
    <t>NT-Gospel-217-Jesus-Body-is-Removed-from-the-Cross</t>
  </si>
  <si>
    <t>NT-Gospel-218-Disciples-Mourn-over-the-Dead-Jesus</t>
  </si>
  <si>
    <t>NT-Gospel-219-Jesus-is-Buried-in-the-Tomb</t>
  </si>
  <si>
    <t>NT-Gospel-220-The-Angel-and-Women-at-the-Empty-Tomb</t>
  </si>
  <si>
    <t>NT-Gospel-223-Jesus-Ascends-to-Heaven</t>
  </si>
  <si>
    <t>NT-Gospel-180-Jesus-Raises-the-Daughter-of-Jairus</t>
  </si>
  <si>
    <t>NT-Gospel-201-The-Widows-Mite</t>
  </si>
  <si>
    <t>NT-Gospel-166-Jesus-Questions-the-Doctors</t>
  </si>
  <si>
    <t>NT-Gospel-177-A-Sinful-Woman-Repents</t>
  </si>
  <si>
    <t>NT-Gospel-181-Jesus-at-the-House-of-Martha-and-Mary</t>
  </si>
  <si>
    <t>NT-Gospel-190-The-Parable-of-the-Good-Samaritan</t>
  </si>
  <si>
    <t>NT-Gospel-191-The-Good-Samaritan-Arrives-at-the-Inn</t>
  </si>
  <si>
    <t>NT-Gospel-193-The-Prodigal-Son-Returns-Home</t>
  </si>
  <si>
    <t>NT-Gospel-194-The-Prodigal-Son-in-His-Fathers-Arms</t>
  </si>
  <si>
    <t>NT-Gospel-195-Lazarus-outside-the-Rich-Mans-House</t>
  </si>
  <si>
    <t>NT-Gospel-196-The-Pharisee-and-the-Publican</t>
  </si>
  <si>
    <t>NT-Gospel-221-Jesus-and-Two-Disciples-Go-to-Emmaus</t>
  </si>
  <si>
    <t>NT-Gospel-170-The-Wedding-at-Cana</t>
  </si>
  <si>
    <t>NT-Gospel-171-Jesus-and-the-Woman-of-Samaria</t>
  </si>
  <si>
    <t>NT-Gospel-189-Jesus-and-the-Woman-Taken-in-Adultery</t>
  </si>
  <si>
    <t>NT-Gospel-197-The-Raising-of-Lazarus</t>
  </si>
  <si>
    <t>NT-Gospel-222-The-Miraculous-Catch-of-Fish</t>
  </si>
  <si>
    <t>NT-Gospel-224-The-Holy-Spirit-Descends-on-the-Disciples</t>
  </si>
  <si>
    <t>NT-Gospel-225-The-Apostles-Preach-the-Gospel</t>
  </si>
  <si>
    <t>NT-Gospel-226-Peter-and-John-at-the-Beautiful-Gate</t>
  </si>
  <si>
    <t>NT-Gospel-227-The-Death-of-Ananias</t>
  </si>
  <si>
    <t>NT-Gospel-228-The-Martyrdom-of-Stephen</t>
  </si>
  <si>
    <t>NT-Gospel-229-The-Conversion-of-Saul</t>
  </si>
  <si>
    <t>NT-Gospel-230-Peter-Preaches-in-the-House-of-Cornelius</t>
  </si>
  <si>
    <t>NT-Gospel-231-Peter-is-Delivered-from-Prison</t>
  </si>
  <si>
    <t>NT-Gospel-232-Paul-Preaches-to-the-Thessalonians</t>
  </si>
  <si>
    <t>NT-Gospel-233-Paul-Preaches-at-Ephesus</t>
  </si>
  <si>
    <t>NT-Gospel-234-Paul-is-Rescued-from-the-Crowd</t>
  </si>
  <si>
    <t>NT-Gospel-235-Paul-is-Shipwrecked</t>
  </si>
  <si>
    <t>NT-Gospel-236-John-on-Patmos</t>
  </si>
  <si>
    <t>NT-Gospel-237-The-Pale-Horse-of-Death</t>
  </si>
  <si>
    <t>NT-Gospel-238-The-Virgin-is-Crowned</t>
  </si>
  <si>
    <t>NT-Gospel-239-Babylon-Has-Fallen</t>
  </si>
  <si>
    <t>NT-Gospel-240-The-Last-Judgment</t>
  </si>
  <si>
    <t>NT-Gospel-241-The-New-Jerusalem</t>
  </si>
  <si>
    <t>Hebrew-OT-140-Tobias-and-the-Angel</t>
  </si>
  <si>
    <t>Hebrew-OT-141-The-Angel-Raphael-and-the-Family-of-Tobit</t>
  </si>
  <si>
    <t>Hebrew-OT-142-Judith-and-Holofernes</t>
  </si>
  <si>
    <t>Hebrew-OT-143-Judith-Shows-the-Head-of-Holofernes</t>
  </si>
  <si>
    <t>Hebrew-OT-144-Esther-Before-the-King</t>
  </si>
  <si>
    <t>Hebrew-OT-145-Baruch</t>
  </si>
  <si>
    <t>Hebrew-OT-146-Susanna-in-the-Bath</t>
  </si>
  <si>
    <t>Hebrew-OT-147-The-Justification-of-Susanna</t>
  </si>
  <si>
    <t>Hebrew-OT-148-Daniel-Confounds-the-Priests-of-Bel</t>
  </si>
  <si>
    <t>Hebrew-OT-149-Mattathias-and-the-Apostate</t>
  </si>
  <si>
    <t>Hebrew-OT-150-Mattathias-Appeals-to-the-Jewish-Refugees</t>
  </si>
  <si>
    <t>Hebrew-OT-151-Judas-Maccabeus-Pursues-Timotheus</t>
  </si>
  <si>
    <t>Hebrew-OT-152-The-Death-of-Eleazar</t>
  </si>
  <si>
    <t>Hebrew-OT-153-Jonathan-Destroys-the-Temple-of-Dagon</t>
  </si>
  <si>
    <t>Hebrew-OT-154-Heliodorus-is-Cast-Down</t>
  </si>
  <si>
    <t>Hebrew-OT-155-The-Army-Appears-in-the-Heavens</t>
  </si>
  <si>
    <t>Hebrew-OT-156-The-Martyrdom-of-Eleazar-the-Scribe</t>
  </si>
  <si>
    <t>Hebrew-OT-157-The-Courage-of-a-Mother</t>
  </si>
  <si>
    <t>Hebrew-OT-158-The-Punishment-of-Antiochus</t>
  </si>
  <si>
    <t>Hebrew-OT-159-The-Angel-is-Sent-to-Deliver-Israel</t>
  </si>
  <si>
    <t>Hebrew-OT-160-Judas-Maccabeus-before-the-Army-of-Nicanor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</si>
</sst>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164" fontId="0" fillId="2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0" fillId="2" borderId="1" xfId="0" applyNumberFormat="1" applyFill="1" applyBorder="1" applyAlignment="1">
      <alignment horizontal="left" vertical="center"/>
    </xf>
    <xf numFmtId="1" fontId="0" fillId="0" borderId="1" xfId="0" applyNumberForma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165" fontId="0" fillId="2" borderId="1" xfId="0" applyNumberFormat="1" applyFill="1" applyBorder="1" applyAlignment="1">
      <alignment horizontal="right" vertical="center"/>
    </xf>
    <xf numFmtId="165" fontId="0" fillId="0" borderId="1" xfId="0" applyNumberFormat="1" applyBorder="1" applyAlignment="1">
      <alignment horizontal="right"/>
    </xf>
    <xf numFmtId="164" fontId="0" fillId="0" borderId="1" xfId="0" applyNumberFormat="1" applyFont="1" applyBorder="1" applyAlignment="1">
      <alignment horizontal="left"/>
    </xf>
    <xf numFmtId="0" fontId="0" fillId="2" borderId="1" xfId="0" applyFont="1" applyFill="1" applyBorder="1" applyAlignment="1">
      <alignment horizontal="left" vertical="center"/>
    </xf>
    <xf numFmtId="165" fontId="0" fillId="2" borderId="1" xfId="0" applyNumberFormat="1" applyFont="1" applyFill="1" applyBorder="1" applyAlignment="1">
      <alignment horizontal="righ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39"/>
  <sheetViews>
    <sheetView tabSelected="1" workbookViewId="0">
      <pane ySplit="1" topLeftCell="A2" activePane="bottomLeft" state="frozen"/>
      <selection pane="bottomLeft" activeCell="M518" sqref="M2:M518"/>
    </sheetView>
  </sheetViews>
  <sheetFormatPr defaultColWidth="12.5703125" defaultRowHeight="15" x14ac:dyDescent="0.25"/>
  <cols>
    <col min="1" max="1" width="7.85546875" style="7" bestFit="1" customWidth="1"/>
    <col min="2" max="2" width="9.42578125" style="6" customWidth="1"/>
    <col min="3" max="3" width="7.28515625" style="13" bestFit="1" customWidth="1"/>
    <col min="4" max="4" width="6.42578125" style="7" bestFit="1" customWidth="1"/>
    <col min="5" max="5" width="6.140625" style="6" bestFit="1" customWidth="1"/>
    <col min="6" max="6" width="5.85546875" style="7" bestFit="1" customWidth="1"/>
    <col min="7" max="7" width="6.140625" style="7" bestFit="1" customWidth="1"/>
    <col min="8" max="8" width="4.140625" style="10" bestFit="1" customWidth="1"/>
    <col min="9" max="9" width="4.5703125" style="10" bestFit="1" customWidth="1"/>
    <col min="10" max="10" width="5.85546875" style="6" customWidth="1"/>
    <col min="11" max="11" width="56.7109375" style="6" customWidth="1"/>
    <col min="12" max="12" width="17.42578125" style="6" customWidth="1"/>
    <col min="13" max="13" width="28.5703125" style="6" customWidth="1"/>
    <col min="14" max="16384" width="12.5703125" style="6"/>
  </cols>
  <sheetData>
    <row r="1" spans="1:13" s="2" customFormat="1" x14ac:dyDescent="0.25">
      <c r="A1" s="3" t="s">
        <v>623</v>
      </c>
      <c r="B1" s="2" t="s">
        <v>622</v>
      </c>
      <c r="C1" s="11" t="s">
        <v>624</v>
      </c>
      <c r="D1" s="3" t="s">
        <v>496</v>
      </c>
      <c r="E1" s="2" t="s">
        <v>460</v>
      </c>
      <c r="F1" s="3" t="s">
        <v>620</v>
      </c>
      <c r="G1" s="3" t="s">
        <v>621</v>
      </c>
      <c r="H1" s="8" t="s">
        <v>626</v>
      </c>
      <c r="I1" s="8" t="s">
        <v>625</v>
      </c>
      <c r="J1" s="2" t="s">
        <v>619</v>
      </c>
      <c r="K1" s="2" t="s">
        <v>430</v>
      </c>
      <c r="L1" s="2" t="s">
        <v>461</v>
      </c>
      <c r="M1" s="2" t="s">
        <v>627</v>
      </c>
    </row>
    <row r="2" spans="1:13" x14ac:dyDescent="0.25">
      <c r="A2" s="7">
        <v>1</v>
      </c>
      <c r="B2" s="4" t="s">
        <v>0</v>
      </c>
      <c r="C2" s="12">
        <v>1</v>
      </c>
      <c r="D2" s="5">
        <f>VLOOKUP(E2,Sheet2!A:C,2,FALSE)</f>
        <v>1</v>
      </c>
      <c r="E2" s="4" t="s">
        <v>478</v>
      </c>
      <c r="F2" s="5">
        <v>1</v>
      </c>
      <c r="G2" s="5" t="str">
        <f>IF(E2&lt;&gt;E1,"",IF(F2&lt;&gt;F1,"","MULT"))</f>
        <v/>
      </c>
      <c r="H2" s="9"/>
      <c r="I2" s="9"/>
      <c r="J2" s="4" t="str">
        <f>IF(A2&lt;&gt;D2,"YES",IF(INT(C2)&lt;&gt;F2,"YES",""))</f>
        <v/>
      </c>
      <c r="K2" s="4" t="s">
        <v>1</v>
      </c>
      <c r="L2" s="6" t="s">
        <v>628</v>
      </c>
      <c r="M2" s="6" t="str">
        <f>"'"&amp;E2&amp;"-"&amp;F2&amp;IF(H2="","","-")&amp;H2&amp;"' =&gt; array('N'=&gt;'"&amp;I2&amp;"', 'C'=&gt;"""&amp;K2&amp;""", 'F'=&gt;'"&amp;L2&amp;"'),"</f>
        <v>'GEN-1' =&gt; array('N'=&gt;'', 'C'=&gt;"The Creation of Light", 'F'=&gt;'Hebrew-OT-001-The-Creation-of-Light'),</v>
      </c>
    </row>
    <row r="3" spans="1:13" x14ac:dyDescent="0.25">
      <c r="A3" s="7">
        <v>1</v>
      </c>
      <c r="B3" s="4" t="s">
        <v>2</v>
      </c>
      <c r="C3" s="12">
        <v>2</v>
      </c>
      <c r="D3" s="5">
        <f>VLOOKUP(E3,Sheet2!A:C,2,FALSE)</f>
        <v>1</v>
      </c>
      <c r="E3" s="4" t="s">
        <v>478</v>
      </c>
      <c r="F3" s="5">
        <v>2</v>
      </c>
      <c r="G3" s="5" t="str">
        <f t="shared" ref="G3:G66" si="0">IF(E3&lt;&gt;E2,"",IF(F3&lt;&gt;F2,"","MULT"))</f>
        <v/>
      </c>
      <c r="H3" s="9"/>
      <c r="I3" s="9"/>
      <c r="J3" s="4" t="str">
        <f t="shared" ref="J3:J66" si="1">IF(A3&lt;&gt;D3,"YES",IF(INT(C3)&lt;&gt;F3,"YES",""))</f>
        <v/>
      </c>
      <c r="K3" s="4" t="s">
        <v>3</v>
      </c>
      <c r="L3" s="6" t="s">
        <v>629</v>
      </c>
      <c r="M3" s="6" t="str">
        <f t="shared" ref="M3:M66" si="2">"'"&amp;E3&amp;"-"&amp;F3&amp;IF(H3="","","-")&amp;H3&amp;"' =&gt; array('N'=&gt;'"&amp;I3&amp;"', 'C'=&gt;"""&amp;K3&amp;""", 'F'=&gt;'"&amp;L3&amp;"'),"</f>
        <v>'GEN-2' =&gt; array('N'=&gt;'', 'C'=&gt;"The Creation of Eve", 'F'=&gt;'Hebrew-OT-002-The-Creation-of-Eve'),</v>
      </c>
    </row>
    <row r="4" spans="1:13" x14ac:dyDescent="0.25">
      <c r="A4" s="7">
        <v>1</v>
      </c>
      <c r="B4" s="4" t="s">
        <v>4</v>
      </c>
      <c r="C4" s="12">
        <v>3</v>
      </c>
      <c r="D4" s="5">
        <f>VLOOKUP(E4,Sheet2!A:C,2,FALSE)</f>
        <v>1</v>
      </c>
      <c r="E4" s="4" t="s">
        <v>478</v>
      </c>
      <c r="F4" s="5">
        <v>3</v>
      </c>
      <c r="G4" s="5" t="str">
        <f t="shared" si="0"/>
        <v/>
      </c>
      <c r="H4" s="9"/>
      <c r="I4" s="9"/>
      <c r="J4" s="4" t="str">
        <f t="shared" si="1"/>
        <v/>
      </c>
      <c r="K4" s="4" t="s">
        <v>5</v>
      </c>
      <c r="L4" s="6" t="s">
        <v>630</v>
      </c>
      <c r="M4" s="6" t="str">
        <f t="shared" si="2"/>
        <v>'GEN-3' =&gt; array('N'=&gt;'', 'C'=&gt;"Adam and Eve Are Driven out of Eden", 'F'=&gt;'Hebrew-OT-003-Adam-and-Eve-Are-Driven-out-of-Eden'),</v>
      </c>
    </row>
    <row r="5" spans="1:13" x14ac:dyDescent="0.25">
      <c r="A5" s="7">
        <v>1</v>
      </c>
      <c r="B5" s="4" t="s">
        <v>6</v>
      </c>
      <c r="C5" s="12">
        <v>4.0999999999999996</v>
      </c>
      <c r="D5" s="5">
        <f>VLOOKUP(E5,Sheet2!A:C,2,FALSE)</f>
        <v>1</v>
      </c>
      <c r="E5" s="4" t="s">
        <v>478</v>
      </c>
      <c r="F5" s="5">
        <v>4</v>
      </c>
      <c r="G5" s="5" t="str">
        <f t="shared" si="0"/>
        <v/>
      </c>
      <c r="H5" s="9"/>
      <c r="I5" s="9">
        <v>2</v>
      </c>
      <c r="J5" s="4" t="str">
        <f t="shared" si="1"/>
        <v/>
      </c>
      <c r="K5" s="4" t="s">
        <v>7</v>
      </c>
      <c r="L5" s="6" t="s">
        <v>631</v>
      </c>
      <c r="M5" s="6" t="str">
        <f t="shared" si="2"/>
        <v>'GEN-4' =&gt; array('N'=&gt;'2', 'C'=&gt;"Cain and Abel Offer Their Sacrifices", 'F'=&gt;'Hebrew-OT-004-Cain-and-Abel-Offer-Their-Sacrifices'),</v>
      </c>
    </row>
    <row r="6" spans="1:13" x14ac:dyDescent="0.25">
      <c r="A6" s="7">
        <v>1</v>
      </c>
      <c r="B6" s="4" t="s">
        <v>8</v>
      </c>
      <c r="C6" s="12">
        <v>4.2</v>
      </c>
      <c r="D6" s="5">
        <f>VLOOKUP(E6,Sheet2!A:C,2,FALSE)</f>
        <v>1</v>
      </c>
      <c r="E6" s="4" t="s">
        <v>478</v>
      </c>
      <c r="F6" s="5">
        <v>4</v>
      </c>
      <c r="G6" s="5" t="str">
        <f t="shared" si="0"/>
        <v>MULT</v>
      </c>
      <c r="H6" s="9">
        <v>2</v>
      </c>
      <c r="I6" s="9"/>
      <c r="J6" s="4" t="str">
        <f t="shared" si="1"/>
        <v/>
      </c>
      <c r="K6" s="4" t="s">
        <v>9</v>
      </c>
      <c r="L6" s="6" t="s">
        <v>632</v>
      </c>
      <c r="M6" s="6" t="str">
        <f t="shared" si="2"/>
        <v>'GEN-4-2' =&gt; array('N'=&gt;'', 'C'=&gt;"Cain Slays Abel", 'F'=&gt;'Hebrew-OT-005-Cain-Slays-Abel'),</v>
      </c>
    </row>
    <row r="7" spans="1:13" x14ac:dyDescent="0.25">
      <c r="A7" s="7">
        <v>1</v>
      </c>
      <c r="B7" s="4" t="s">
        <v>10</v>
      </c>
      <c r="C7" s="12">
        <v>6</v>
      </c>
      <c r="D7" s="5">
        <f>VLOOKUP(E7,Sheet2!A:C,2,FALSE)</f>
        <v>1</v>
      </c>
      <c r="E7" s="4" t="s">
        <v>478</v>
      </c>
      <c r="F7" s="5">
        <v>6</v>
      </c>
      <c r="G7" s="5" t="str">
        <f t="shared" si="0"/>
        <v/>
      </c>
      <c r="H7" s="9"/>
      <c r="I7" s="9"/>
      <c r="J7" s="4" t="str">
        <f t="shared" si="1"/>
        <v/>
      </c>
      <c r="K7" s="4" t="s">
        <v>436</v>
      </c>
      <c r="L7" s="6" t="s">
        <v>633</v>
      </c>
      <c r="M7" s="6" t="str">
        <f t="shared" si="2"/>
        <v>'GEN-6' =&gt; array('N'=&gt;'', 'C'=&gt;"The World is Destroyed by Water", 'F'=&gt;'Hebrew-OT-006-The-World-is-Destroyed-by-Water'),</v>
      </c>
    </row>
    <row r="8" spans="1:13" x14ac:dyDescent="0.25">
      <c r="A8" s="7">
        <v>1</v>
      </c>
      <c r="B8" s="4" t="s">
        <v>11</v>
      </c>
      <c r="C8" s="12">
        <v>7</v>
      </c>
      <c r="D8" s="5">
        <f>VLOOKUP(E8,Sheet2!A:C,2,FALSE)</f>
        <v>1</v>
      </c>
      <c r="E8" s="4" t="s">
        <v>478</v>
      </c>
      <c r="F8" s="5">
        <v>7</v>
      </c>
      <c r="G8" s="5" t="str">
        <f t="shared" si="0"/>
        <v/>
      </c>
      <c r="H8" s="9"/>
      <c r="I8" s="9"/>
      <c r="J8" s="4" t="str">
        <f t="shared" si="1"/>
        <v/>
      </c>
      <c r="K8" s="4" t="s">
        <v>12</v>
      </c>
      <c r="L8" s="6" t="s">
        <v>634</v>
      </c>
      <c r="M8" s="6" t="str">
        <f t="shared" si="2"/>
        <v>'GEN-7' =&gt; array('N'=&gt;'', 'C'=&gt;"The Great Flood", 'F'=&gt;'Hebrew-OT-007-The-Great-Flood'),</v>
      </c>
    </row>
    <row r="9" spans="1:13" x14ac:dyDescent="0.25">
      <c r="A9" s="7">
        <v>1</v>
      </c>
      <c r="B9" s="4" t="s">
        <v>13</v>
      </c>
      <c r="C9" s="12">
        <v>8</v>
      </c>
      <c r="D9" s="5">
        <f>VLOOKUP(E9,Sheet2!A:C,2,FALSE)</f>
        <v>1</v>
      </c>
      <c r="E9" s="4" t="s">
        <v>478</v>
      </c>
      <c r="F9" s="5">
        <v>8</v>
      </c>
      <c r="G9" s="5" t="str">
        <f t="shared" si="0"/>
        <v/>
      </c>
      <c r="H9" s="9"/>
      <c r="I9" s="9"/>
      <c r="J9" s="4" t="str">
        <f t="shared" si="1"/>
        <v/>
      </c>
      <c r="K9" s="4" t="s">
        <v>437</v>
      </c>
      <c r="L9" s="6" t="s">
        <v>635</v>
      </c>
      <c r="M9" s="6" t="str">
        <f t="shared" si="2"/>
        <v>'GEN-8' =&gt; array('N'=&gt;'', 'C'=&gt;"A Dove is Sent Forth from the Ark", 'F'=&gt;'Hebrew-OT-008-A-Dove-is-Sent-Forth-from-the-Ark'),</v>
      </c>
    </row>
    <row r="10" spans="1:13" x14ac:dyDescent="0.25">
      <c r="A10" s="7">
        <v>1</v>
      </c>
      <c r="B10" s="4" t="s">
        <v>14</v>
      </c>
      <c r="C10" s="12">
        <v>9</v>
      </c>
      <c r="D10" s="5">
        <f>VLOOKUP(E10,Sheet2!A:C,2,FALSE)</f>
        <v>1</v>
      </c>
      <c r="E10" s="4" t="s">
        <v>478</v>
      </c>
      <c r="F10" s="5">
        <v>9</v>
      </c>
      <c r="G10" s="5" t="str">
        <f t="shared" si="0"/>
        <v/>
      </c>
      <c r="H10" s="9"/>
      <c r="I10" s="9"/>
      <c r="J10" s="4" t="str">
        <f t="shared" si="1"/>
        <v/>
      </c>
      <c r="K10" s="4" t="s">
        <v>15</v>
      </c>
      <c r="L10" s="6" t="s">
        <v>636</v>
      </c>
      <c r="M10" s="6" t="str">
        <f t="shared" si="2"/>
        <v>'GEN-9' =&gt; array('N'=&gt;'', 'C'=&gt;"Noah Curses Ham and Canaan", 'F'=&gt;'Hebrew-OT-009-Noah-Curses-Ham-and-Canaan'),</v>
      </c>
    </row>
    <row r="11" spans="1:13" x14ac:dyDescent="0.25">
      <c r="A11" s="7">
        <v>1</v>
      </c>
      <c r="B11" s="4" t="s">
        <v>16</v>
      </c>
      <c r="C11" s="12">
        <v>11</v>
      </c>
      <c r="D11" s="5">
        <f>VLOOKUP(E11,Sheet2!A:C,2,FALSE)</f>
        <v>1</v>
      </c>
      <c r="E11" s="4" t="s">
        <v>478</v>
      </c>
      <c r="F11" s="5">
        <v>11</v>
      </c>
      <c r="G11" s="5" t="str">
        <f t="shared" si="0"/>
        <v/>
      </c>
      <c r="H11" s="9"/>
      <c r="I11" s="9"/>
      <c r="J11" s="4" t="str">
        <f t="shared" si="1"/>
        <v/>
      </c>
      <c r="K11" s="4" t="s">
        <v>17</v>
      </c>
      <c r="L11" s="6" t="s">
        <v>637</v>
      </c>
      <c r="M11" s="6" t="str">
        <f t="shared" si="2"/>
        <v>'GEN-11' =&gt; array('N'=&gt;'', 'C'=&gt;"The Tower of Babel", 'F'=&gt;'Hebrew-OT-010-The-Tower-of-Babel'),</v>
      </c>
    </row>
    <row r="12" spans="1:13" x14ac:dyDescent="0.25">
      <c r="A12" s="7">
        <v>1</v>
      </c>
      <c r="B12" s="4" t="s">
        <v>18</v>
      </c>
      <c r="C12" s="12">
        <v>12</v>
      </c>
      <c r="D12" s="5">
        <f>VLOOKUP(E12,Sheet2!A:C,2,FALSE)</f>
        <v>1</v>
      </c>
      <c r="E12" s="4" t="s">
        <v>478</v>
      </c>
      <c r="F12" s="5">
        <v>12</v>
      </c>
      <c r="G12" s="5" t="str">
        <f t="shared" si="0"/>
        <v/>
      </c>
      <c r="H12" s="9"/>
      <c r="I12" s="9"/>
      <c r="J12" s="4" t="str">
        <f t="shared" si="1"/>
        <v/>
      </c>
      <c r="K12" s="4" t="s">
        <v>19</v>
      </c>
      <c r="L12" s="6" t="s">
        <v>638</v>
      </c>
      <c r="M12" s="6" t="str">
        <f t="shared" si="2"/>
        <v>'GEN-12' =&gt; array('N'=&gt;'', 'C'=&gt;"Abraham Goes to the Land of Canaan", 'F'=&gt;'Hebrew-OT-011-Abraham-Goes-to-the-Land-of-Canaan'),</v>
      </c>
    </row>
    <row r="13" spans="1:13" x14ac:dyDescent="0.25">
      <c r="A13" s="7">
        <v>1</v>
      </c>
      <c r="B13" s="4" t="s">
        <v>20</v>
      </c>
      <c r="C13" s="12">
        <v>18</v>
      </c>
      <c r="D13" s="5">
        <f>VLOOKUP(E13,Sheet2!A:C,2,FALSE)</f>
        <v>1</v>
      </c>
      <c r="E13" s="4" t="s">
        <v>478</v>
      </c>
      <c r="F13" s="5">
        <v>18</v>
      </c>
      <c r="G13" s="5" t="str">
        <f t="shared" si="0"/>
        <v/>
      </c>
      <c r="H13" s="9"/>
      <c r="I13" s="9"/>
      <c r="J13" s="4" t="str">
        <f t="shared" si="1"/>
        <v/>
      </c>
      <c r="K13" s="4" t="s">
        <v>21</v>
      </c>
      <c r="L13" s="6" t="s">
        <v>639</v>
      </c>
      <c r="M13" s="6" t="str">
        <f t="shared" si="2"/>
        <v>'GEN-18' =&gt; array('N'=&gt;'', 'C'=&gt;"Abraham and the Three Angels", 'F'=&gt;'Hebrew-OT-012-Abraham-and-the-Three-Angels'),</v>
      </c>
    </row>
    <row r="14" spans="1:13" x14ac:dyDescent="0.25">
      <c r="A14" s="7">
        <v>1</v>
      </c>
      <c r="B14" s="4" t="s">
        <v>22</v>
      </c>
      <c r="C14" s="12">
        <v>19</v>
      </c>
      <c r="D14" s="5">
        <f>VLOOKUP(E14,Sheet2!A:C,2,FALSE)</f>
        <v>1</v>
      </c>
      <c r="E14" s="4" t="s">
        <v>478</v>
      </c>
      <c r="F14" s="5">
        <v>19</v>
      </c>
      <c r="G14" s="5" t="str">
        <f t="shared" si="0"/>
        <v/>
      </c>
      <c r="H14" s="9"/>
      <c r="I14" s="9"/>
      <c r="J14" s="4" t="str">
        <f t="shared" si="1"/>
        <v/>
      </c>
      <c r="K14" s="4" t="s">
        <v>23</v>
      </c>
      <c r="L14" s="6" t="s">
        <v>640</v>
      </c>
      <c r="M14" s="6" t="str">
        <f t="shared" si="2"/>
        <v>'GEN-19' =&gt; array('N'=&gt;'', 'C'=&gt;"Lot Flees as Sodom and Gomorrah Burn", 'F'=&gt;'Hebrew-OT-013-Lot-Flees-as-Sodom-and-Gomorrah-Burn'),</v>
      </c>
    </row>
    <row r="15" spans="1:13" x14ac:dyDescent="0.25">
      <c r="A15" s="7">
        <v>1</v>
      </c>
      <c r="B15" s="4" t="s">
        <v>24</v>
      </c>
      <c r="C15" s="12">
        <v>21.1</v>
      </c>
      <c r="D15" s="5">
        <f>VLOOKUP(E15,Sheet2!A:C,2,FALSE)</f>
        <v>1</v>
      </c>
      <c r="E15" s="4" t="s">
        <v>478</v>
      </c>
      <c r="F15" s="5">
        <v>21</v>
      </c>
      <c r="G15" s="5" t="str">
        <f t="shared" si="0"/>
        <v/>
      </c>
      <c r="H15" s="9"/>
      <c r="I15" s="9">
        <v>2</v>
      </c>
      <c r="J15" s="4" t="str">
        <f t="shared" si="1"/>
        <v/>
      </c>
      <c r="K15" s="4" t="s">
        <v>25</v>
      </c>
      <c r="L15" s="6" t="s">
        <v>641</v>
      </c>
      <c r="M15" s="6" t="str">
        <f t="shared" si="2"/>
        <v>'GEN-21' =&gt; array('N'=&gt;'2', 'C'=&gt;"Abraham Sends Hagar and Ishmael Away", 'F'=&gt;'Hebrew-OT-014-Abraham-Sends-Hagar-and-Ishmael-Away'),</v>
      </c>
    </row>
    <row r="16" spans="1:13" x14ac:dyDescent="0.25">
      <c r="A16" s="7">
        <v>1</v>
      </c>
      <c r="B16" s="4" t="s">
        <v>26</v>
      </c>
      <c r="C16" s="12">
        <v>21.2</v>
      </c>
      <c r="D16" s="5">
        <f>VLOOKUP(E16,Sheet2!A:C,2,FALSE)</f>
        <v>1</v>
      </c>
      <c r="E16" s="4" t="s">
        <v>478</v>
      </c>
      <c r="F16" s="5">
        <v>21</v>
      </c>
      <c r="G16" s="5" t="str">
        <f t="shared" si="0"/>
        <v>MULT</v>
      </c>
      <c r="H16" s="9">
        <v>2</v>
      </c>
      <c r="I16" s="9"/>
      <c r="J16" s="4" t="str">
        <f t="shared" si="1"/>
        <v/>
      </c>
      <c r="K16" s="4" t="s">
        <v>27</v>
      </c>
      <c r="L16" s="6" t="s">
        <v>642</v>
      </c>
      <c r="M16" s="6" t="str">
        <f t="shared" si="2"/>
        <v>'GEN-21-2' =&gt; array('N'=&gt;'', 'C'=&gt;"Hagar and Ishmael in the Wilderness", 'F'=&gt;'Hebrew-OT-015-Hagar-and-Ishmael-in-the-Wilderness'),</v>
      </c>
    </row>
    <row r="17" spans="1:13" x14ac:dyDescent="0.25">
      <c r="A17" s="7">
        <v>1</v>
      </c>
      <c r="B17" s="4" t="s">
        <v>28</v>
      </c>
      <c r="C17" s="12">
        <v>22</v>
      </c>
      <c r="D17" s="5">
        <f>VLOOKUP(E17,Sheet2!A:C,2,FALSE)</f>
        <v>1</v>
      </c>
      <c r="E17" s="4" t="s">
        <v>478</v>
      </c>
      <c r="F17" s="5">
        <v>22</v>
      </c>
      <c r="G17" s="5" t="str">
        <f t="shared" si="0"/>
        <v/>
      </c>
      <c r="H17" s="9"/>
      <c r="I17" s="9"/>
      <c r="J17" s="4" t="str">
        <f t="shared" si="1"/>
        <v/>
      </c>
      <c r="K17" s="4" t="s">
        <v>29</v>
      </c>
      <c r="L17" s="6" t="s">
        <v>643</v>
      </c>
      <c r="M17" s="6" t="str">
        <f t="shared" si="2"/>
        <v>'GEN-22' =&gt; array('N'=&gt;'', 'C'=&gt;"The Testing of Abraham's Faith", 'F'=&gt;'Hebrew-OT-016-The-Testing-of-Abrahams-Faith'),</v>
      </c>
    </row>
    <row r="18" spans="1:13" x14ac:dyDescent="0.25">
      <c r="A18" s="7">
        <v>1</v>
      </c>
      <c r="B18" s="4" t="s">
        <v>30</v>
      </c>
      <c r="C18" s="12">
        <v>23</v>
      </c>
      <c r="D18" s="5">
        <f>VLOOKUP(E18,Sheet2!A:C,2,FALSE)</f>
        <v>1</v>
      </c>
      <c r="E18" s="4" t="s">
        <v>478</v>
      </c>
      <c r="F18" s="5">
        <v>23</v>
      </c>
      <c r="G18" s="5" t="str">
        <f t="shared" si="0"/>
        <v/>
      </c>
      <c r="H18" s="9"/>
      <c r="I18" s="9"/>
      <c r="J18" s="4" t="str">
        <f t="shared" si="1"/>
        <v/>
      </c>
      <c r="K18" s="4" t="s">
        <v>31</v>
      </c>
      <c r="L18" s="6" t="s">
        <v>644</v>
      </c>
      <c r="M18" s="6" t="str">
        <f t="shared" si="2"/>
        <v>'GEN-23' =&gt; array('N'=&gt;'', 'C'=&gt;"The Burial of Sarah", 'F'=&gt;'Hebrew-OT-017-The-Burial-of-Sarah'),</v>
      </c>
    </row>
    <row r="19" spans="1:13" x14ac:dyDescent="0.25">
      <c r="A19" s="7">
        <v>1</v>
      </c>
      <c r="B19" s="4" t="s">
        <v>32</v>
      </c>
      <c r="C19" s="12">
        <v>24.1</v>
      </c>
      <c r="D19" s="5">
        <f>VLOOKUP(E19,Sheet2!A:C,2,FALSE)</f>
        <v>1</v>
      </c>
      <c r="E19" s="4" t="s">
        <v>478</v>
      </c>
      <c r="F19" s="5">
        <v>24</v>
      </c>
      <c r="G19" s="5" t="str">
        <f t="shared" si="0"/>
        <v/>
      </c>
      <c r="H19" s="9"/>
      <c r="I19" s="9">
        <v>2</v>
      </c>
      <c r="J19" s="4" t="str">
        <f t="shared" si="1"/>
        <v/>
      </c>
      <c r="K19" s="4" t="s">
        <v>33</v>
      </c>
      <c r="L19" s="6" t="s">
        <v>645</v>
      </c>
      <c r="M19" s="6" t="str">
        <f t="shared" si="2"/>
        <v>'GEN-24' =&gt; array('N'=&gt;'2', 'C'=&gt;"Eliezer and Rebekah at the Well", 'F'=&gt;'Hebrew-OT-018-Eliezer-and-Rebekah-at-the-Well'),</v>
      </c>
    </row>
    <row r="20" spans="1:13" x14ac:dyDescent="0.25">
      <c r="A20" s="7">
        <v>1</v>
      </c>
      <c r="B20" s="4" t="s">
        <v>34</v>
      </c>
      <c r="C20" s="12">
        <v>24.2</v>
      </c>
      <c r="D20" s="5">
        <f>VLOOKUP(E20,Sheet2!A:C,2,FALSE)</f>
        <v>1</v>
      </c>
      <c r="E20" s="4" t="s">
        <v>478</v>
      </c>
      <c r="F20" s="5">
        <v>24</v>
      </c>
      <c r="G20" s="5" t="str">
        <f t="shared" si="0"/>
        <v>MULT</v>
      </c>
      <c r="H20" s="9">
        <v>2</v>
      </c>
      <c r="I20" s="9"/>
      <c r="J20" s="4" t="str">
        <f t="shared" si="1"/>
        <v/>
      </c>
      <c r="K20" s="4" t="s">
        <v>35</v>
      </c>
      <c r="L20" s="6" t="s">
        <v>646</v>
      </c>
      <c r="M20" s="6" t="str">
        <f t="shared" si="2"/>
        <v>'GEN-24-2' =&gt; array('N'=&gt;'', 'C'=&gt;"The Meeting of Isaac and Rebekah", 'F'=&gt;'Hebrew-OT-019-The-Meeting-of-Isaac-and-Rebekah'),</v>
      </c>
    </row>
    <row r="21" spans="1:13" x14ac:dyDescent="0.25">
      <c r="A21" s="7">
        <v>1</v>
      </c>
      <c r="B21" s="4" t="s">
        <v>36</v>
      </c>
      <c r="C21" s="12">
        <v>27</v>
      </c>
      <c r="D21" s="5">
        <f>VLOOKUP(E21,Sheet2!A:C,2,FALSE)</f>
        <v>1</v>
      </c>
      <c r="E21" s="4" t="s">
        <v>478</v>
      </c>
      <c r="F21" s="5">
        <v>27</v>
      </c>
      <c r="G21" s="5" t="str">
        <f t="shared" si="0"/>
        <v/>
      </c>
      <c r="H21" s="9"/>
      <c r="I21" s="9"/>
      <c r="J21" s="4" t="str">
        <f t="shared" si="1"/>
        <v/>
      </c>
      <c r="K21" s="4" t="s">
        <v>37</v>
      </c>
      <c r="L21" s="6" t="s">
        <v>647</v>
      </c>
      <c r="M21" s="6" t="str">
        <f t="shared" si="2"/>
        <v>'GEN-27' =&gt; array('N'=&gt;'', 'C'=&gt;"Isaac Blesses Jacob", 'F'=&gt;'Hebrew-OT-020-Isaac-Blesses-Jacob'),</v>
      </c>
    </row>
    <row r="22" spans="1:13" x14ac:dyDescent="0.25">
      <c r="A22" s="7">
        <v>1</v>
      </c>
      <c r="B22" s="4" t="s">
        <v>38</v>
      </c>
      <c r="C22" s="12">
        <v>28</v>
      </c>
      <c r="D22" s="5">
        <f>VLOOKUP(E22,Sheet2!A:C,2,FALSE)</f>
        <v>1</v>
      </c>
      <c r="E22" s="4" t="s">
        <v>478</v>
      </c>
      <c r="F22" s="5">
        <v>28</v>
      </c>
      <c r="G22" s="5" t="str">
        <f t="shared" si="0"/>
        <v/>
      </c>
      <c r="H22" s="9"/>
      <c r="I22" s="9"/>
      <c r="J22" s="4" t="str">
        <f t="shared" si="1"/>
        <v/>
      </c>
      <c r="K22" s="4" t="s">
        <v>39</v>
      </c>
      <c r="L22" s="6" t="s">
        <v>648</v>
      </c>
      <c r="M22" s="6" t="str">
        <f t="shared" si="2"/>
        <v>'GEN-28' =&gt; array('N'=&gt;'', 'C'=&gt;"Jacob's Dream", 'F'=&gt;'Hebrew-OT-021-Jacobs-Dream'),</v>
      </c>
    </row>
    <row r="23" spans="1:13" x14ac:dyDescent="0.25">
      <c r="A23" s="7">
        <v>1</v>
      </c>
      <c r="B23" s="4" t="s">
        <v>40</v>
      </c>
      <c r="C23" s="12">
        <v>29</v>
      </c>
      <c r="D23" s="5">
        <f>VLOOKUP(E23,Sheet2!A:C,2,FALSE)</f>
        <v>1</v>
      </c>
      <c r="E23" s="4" t="s">
        <v>478</v>
      </c>
      <c r="F23" s="5">
        <v>29</v>
      </c>
      <c r="G23" s="5" t="str">
        <f t="shared" si="0"/>
        <v/>
      </c>
      <c r="H23" s="9"/>
      <c r="I23" s="9"/>
      <c r="J23" s="4" t="str">
        <f t="shared" si="1"/>
        <v/>
      </c>
      <c r="K23" s="4" t="s">
        <v>41</v>
      </c>
      <c r="L23" s="6" t="s">
        <v>649</v>
      </c>
      <c r="M23" s="6" t="str">
        <f t="shared" si="2"/>
        <v>'GEN-29' =&gt; array('N'=&gt;'', 'C'=&gt;"Jacob Tends Laban's Flocks and Meets Rachel", 'F'=&gt;'Hebrew-OT-022-Jacob-Tends-Labans-Flocks-and-Meets-Rachel'),</v>
      </c>
    </row>
    <row r="24" spans="1:13" x14ac:dyDescent="0.25">
      <c r="A24" s="7">
        <v>1</v>
      </c>
      <c r="B24" s="4" t="s">
        <v>42</v>
      </c>
      <c r="C24" s="12">
        <v>32.1</v>
      </c>
      <c r="D24" s="5">
        <f>VLOOKUP(E24,Sheet2!A:C,2,FALSE)</f>
        <v>1</v>
      </c>
      <c r="E24" s="4" t="s">
        <v>478</v>
      </c>
      <c r="F24" s="5">
        <v>32</v>
      </c>
      <c r="G24" s="5" t="str">
        <f t="shared" si="0"/>
        <v/>
      </c>
      <c r="H24" s="9"/>
      <c r="I24" s="9">
        <v>2</v>
      </c>
      <c r="J24" s="4" t="str">
        <f t="shared" si="1"/>
        <v/>
      </c>
      <c r="K24" s="4" t="s">
        <v>43</v>
      </c>
      <c r="L24" s="6" t="s">
        <v>650</v>
      </c>
      <c r="M24" s="6" t="str">
        <f t="shared" si="2"/>
        <v>'GEN-32' =&gt; array('N'=&gt;'2', 'C'=&gt;"Jacob Prays for Protection", 'F'=&gt;'Hebrew-OT-023-Jacob-Prays-for-Protection'),</v>
      </c>
    </row>
    <row r="25" spans="1:13" x14ac:dyDescent="0.25">
      <c r="A25" s="7">
        <v>1</v>
      </c>
      <c r="B25" s="4" t="s">
        <v>44</v>
      </c>
      <c r="C25" s="12">
        <v>32.200000000000003</v>
      </c>
      <c r="D25" s="5">
        <f>VLOOKUP(E25,Sheet2!A:C,2,FALSE)</f>
        <v>1</v>
      </c>
      <c r="E25" s="4" t="s">
        <v>478</v>
      </c>
      <c r="F25" s="5">
        <v>32</v>
      </c>
      <c r="G25" s="5" t="str">
        <f t="shared" si="0"/>
        <v>MULT</v>
      </c>
      <c r="H25" s="9">
        <v>2</v>
      </c>
      <c r="I25" s="9"/>
      <c r="J25" s="4" t="str">
        <f t="shared" si="1"/>
        <v/>
      </c>
      <c r="K25" s="4" t="s">
        <v>45</v>
      </c>
      <c r="L25" s="6" t="s">
        <v>651</v>
      </c>
      <c r="M25" s="6" t="str">
        <f t="shared" si="2"/>
        <v>'GEN-32-2' =&gt; array('N'=&gt;'', 'C'=&gt;"Jacob Wrestles with the Angel", 'F'=&gt;'Hebrew-OT-024-Jacob-Wrestles-with-the-Angel'),</v>
      </c>
    </row>
    <row r="26" spans="1:13" x14ac:dyDescent="0.25">
      <c r="A26" s="7">
        <v>1</v>
      </c>
      <c r="B26" s="4" t="s">
        <v>46</v>
      </c>
      <c r="C26" s="12">
        <v>33</v>
      </c>
      <c r="D26" s="5">
        <f>VLOOKUP(E26,Sheet2!A:C,2,FALSE)</f>
        <v>1</v>
      </c>
      <c r="E26" s="4" t="s">
        <v>478</v>
      </c>
      <c r="F26" s="5">
        <v>33</v>
      </c>
      <c r="G26" s="5" t="str">
        <f t="shared" si="0"/>
        <v/>
      </c>
      <c r="H26" s="9"/>
      <c r="I26" s="9"/>
      <c r="J26" s="4" t="str">
        <f t="shared" si="1"/>
        <v/>
      </c>
      <c r="K26" s="4" t="s">
        <v>47</v>
      </c>
      <c r="L26" s="6" t="s">
        <v>652</v>
      </c>
      <c r="M26" s="6" t="str">
        <f t="shared" si="2"/>
        <v>'GEN-33' =&gt; array('N'=&gt;'', 'C'=&gt;"Jacob and Esau Meet", 'F'=&gt;'Hebrew-OT-025-Jacob-and-Esau-Meet'),</v>
      </c>
    </row>
    <row r="27" spans="1:13" x14ac:dyDescent="0.25">
      <c r="A27" s="7">
        <v>1</v>
      </c>
      <c r="B27" s="4" t="s">
        <v>48</v>
      </c>
      <c r="C27" s="12">
        <v>37</v>
      </c>
      <c r="D27" s="5">
        <f>VLOOKUP(E27,Sheet2!A:C,2,FALSE)</f>
        <v>1</v>
      </c>
      <c r="E27" s="4" t="s">
        <v>478</v>
      </c>
      <c r="F27" s="5">
        <v>37</v>
      </c>
      <c r="G27" s="5" t="str">
        <f t="shared" si="0"/>
        <v/>
      </c>
      <c r="H27" s="9"/>
      <c r="I27" s="9"/>
      <c r="J27" s="4" t="str">
        <f t="shared" si="1"/>
        <v/>
      </c>
      <c r="K27" s="4" t="s">
        <v>438</v>
      </c>
      <c r="L27" s="6" t="s">
        <v>653</v>
      </c>
      <c r="M27" s="6" t="str">
        <f t="shared" si="2"/>
        <v>'GEN-37' =&gt; array('N'=&gt;'', 'C'=&gt;"Joseph is Sold by His Brothers", 'F'=&gt;'Hebrew-OT-026-Joseph-is-Sold-by-His-Brothers'),</v>
      </c>
    </row>
    <row r="28" spans="1:13" x14ac:dyDescent="0.25">
      <c r="A28" s="7">
        <v>1</v>
      </c>
      <c r="B28" s="4" t="s">
        <v>49</v>
      </c>
      <c r="C28" s="12">
        <v>41</v>
      </c>
      <c r="D28" s="5">
        <f>VLOOKUP(E28,Sheet2!A:C,2,FALSE)</f>
        <v>1</v>
      </c>
      <c r="E28" s="4" t="s">
        <v>478</v>
      </c>
      <c r="F28" s="5">
        <v>41</v>
      </c>
      <c r="G28" s="5" t="str">
        <f t="shared" si="0"/>
        <v/>
      </c>
      <c r="H28" s="9"/>
      <c r="I28" s="9"/>
      <c r="J28" s="4" t="str">
        <f t="shared" si="1"/>
        <v/>
      </c>
      <c r="K28" s="4" t="s">
        <v>50</v>
      </c>
      <c r="L28" s="6" t="s">
        <v>654</v>
      </c>
      <c r="M28" s="6" t="str">
        <f t="shared" si="2"/>
        <v>'GEN-41' =&gt; array('N'=&gt;'', 'C'=&gt;"Joseph Interprets Pharaoh's Dream", 'F'=&gt;'Hebrew-OT-027-Joseph-Interprets-Pharaohs-Dream'),</v>
      </c>
    </row>
    <row r="29" spans="1:13" x14ac:dyDescent="0.25">
      <c r="A29" s="7">
        <v>1</v>
      </c>
      <c r="B29" s="4" t="s">
        <v>51</v>
      </c>
      <c r="C29" s="12">
        <v>45</v>
      </c>
      <c r="D29" s="5">
        <f>VLOOKUP(E29,Sheet2!A:C,2,FALSE)</f>
        <v>1</v>
      </c>
      <c r="E29" s="4" t="s">
        <v>478</v>
      </c>
      <c r="F29" s="5">
        <v>45</v>
      </c>
      <c r="G29" s="5" t="str">
        <f t="shared" si="0"/>
        <v/>
      </c>
      <c r="H29" s="9"/>
      <c r="I29" s="9"/>
      <c r="J29" s="4" t="str">
        <f t="shared" si="1"/>
        <v/>
      </c>
      <c r="K29" s="4" t="s">
        <v>52</v>
      </c>
      <c r="L29" s="6" t="s">
        <v>655</v>
      </c>
      <c r="M29" s="6" t="str">
        <f t="shared" si="2"/>
        <v>'GEN-45' =&gt; array('N'=&gt;'', 'C'=&gt;"Joseph Reveals Himself to His Brothers", 'F'=&gt;'Hebrew-OT-028-Joseph-Reveals-Himself-to-His-Brothers'),</v>
      </c>
    </row>
    <row r="30" spans="1:13" x14ac:dyDescent="0.25">
      <c r="A30" s="7">
        <v>1</v>
      </c>
      <c r="B30" s="4" t="s">
        <v>53</v>
      </c>
      <c r="C30" s="12">
        <v>46</v>
      </c>
      <c r="D30" s="5">
        <f>VLOOKUP(E30,Sheet2!A:C,2,FALSE)</f>
        <v>1</v>
      </c>
      <c r="E30" s="4" t="s">
        <v>478</v>
      </c>
      <c r="F30" s="5">
        <v>46</v>
      </c>
      <c r="G30" s="5" t="str">
        <f t="shared" si="0"/>
        <v/>
      </c>
      <c r="H30" s="9"/>
      <c r="I30" s="9"/>
      <c r="J30" s="4" t="str">
        <f t="shared" si="1"/>
        <v/>
      </c>
      <c r="K30" s="4" t="s">
        <v>54</v>
      </c>
      <c r="L30" s="6" t="s">
        <v>656</v>
      </c>
      <c r="M30" s="6" t="str">
        <f t="shared" si="2"/>
        <v>'GEN-46' =&gt; array('N'=&gt;'', 'C'=&gt;"Jacob Goes to Egypt", 'F'=&gt;'Hebrew-OT-029-Jacob-Goes-to-Egypt'),</v>
      </c>
    </row>
    <row r="31" spans="1:13" x14ac:dyDescent="0.25">
      <c r="A31" s="7">
        <v>2</v>
      </c>
      <c r="B31" s="4" t="s">
        <v>55</v>
      </c>
      <c r="C31" s="12">
        <v>2.1</v>
      </c>
      <c r="D31" s="5">
        <f>VLOOKUP(E31,Sheet2!A:C,2,FALSE)</f>
        <v>2</v>
      </c>
      <c r="E31" s="4" t="s">
        <v>475</v>
      </c>
      <c r="F31" s="5">
        <v>2</v>
      </c>
      <c r="G31" s="5" t="str">
        <f t="shared" si="0"/>
        <v/>
      </c>
      <c r="H31" s="9"/>
      <c r="I31" s="9">
        <v>2</v>
      </c>
      <c r="J31" s="4" t="str">
        <f t="shared" si="1"/>
        <v/>
      </c>
      <c r="K31" s="4" t="s">
        <v>56</v>
      </c>
      <c r="L31" s="6" t="s">
        <v>657</v>
      </c>
      <c r="M31" s="6" t="str">
        <f t="shared" si="2"/>
        <v>'EXO-2' =&gt; array('N'=&gt;'2', 'C'=&gt;"The Child Moses on the Nile", 'F'=&gt;'Hebrew-OT-030-The-Child-Moses-on-the-Nile'),</v>
      </c>
    </row>
    <row r="32" spans="1:13" x14ac:dyDescent="0.25">
      <c r="A32" s="7">
        <v>2</v>
      </c>
      <c r="B32" s="4" t="s">
        <v>57</v>
      </c>
      <c r="C32" s="12">
        <v>2.2000000000000002</v>
      </c>
      <c r="D32" s="5">
        <f>VLOOKUP(E32,Sheet2!A:C,2,FALSE)</f>
        <v>2</v>
      </c>
      <c r="E32" s="4" t="s">
        <v>475</v>
      </c>
      <c r="F32" s="5">
        <v>2</v>
      </c>
      <c r="G32" s="5" t="str">
        <f t="shared" si="0"/>
        <v>MULT</v>
      </c>
      <c r="H32" s="9">
        <v>2</v>
      </c>
      <c r="I32" s="9"/>
      <c r="J32" s="4" t="str">
        <f t="shared" si="1"/>
        <v/>
      </c>
      <c r="K32" s="4" t="s">
        <v>58</v>
      </c>
      <c r="L32" s="6" t="s">
        <v>658</v>
      </c>
      <c r="M32" s="6" t="str">
        <f t="shared" si="2"/>
        <v>'EXO-2-2' =&gt; array('N'=&gt;'', 'C'=&gt;"The Finding of Moses", 'F'=&gt;'Hebrew-OT-031-The-Finding-of-Moses'),</v>
      </c>
    </row>
    <row r="33" spans="1:13" x14ac:dyDescent="0.25">
      <c r="A33" s="7">
        <v>2</v>
      </c>
      <c r="B33" s="4" t="s">
        <v>59</v>
      </c>
      <c r="C33" s="12">
        <v>7</v>
      </c>
      <c r="D33" s="5">
        <f>VLOOKUP(E33,Sheet2!A:C,2,FALSE)</f>
        <v>2</v>
      </c>
      <c r="E33" s="4" t="s">
        <v>475</v>
      </c>
      <c r="F33" s="5">
        <v>7</v>
      </c>
      <c r="G33" s="5" t="str">
        <f t="shared" si="0"/>
        <v/>
      </c>
      <c r="H33" s="9"/>
      <c r="I33" s="9"/>
      <c r="J33" s="4" t="str">
        <f t="shared" si="1"/>
        <v/>
      </c>
      <c r="K33" s="4" t="s">
        <v>60</v>
      </c>
      <c r="L33" s="6" t="s">
        <v>659</v>
      </c>
      <c r="M33" s="6" t="str">
        <f t="shared" si="2"/>
        <v>'EXO-7' =&gt; array('N'=&gt;'', 'C'=&gt;"Moses and Aaron Appear before Pharaoh", 'F'=&gt;'Hebrew-OT-032-Moses-and-Aaron-Appear-before-Pharaoh'),</v>
      </c>
    </row>
    <row r="34" spans="1:13" x14ac:dyDescent="0.25">
      <c r="A34" s="7">
        <v>2</v>
      </c>
      <c r="B34" s="4" t="s">
        <v>61</v>
      </c>
      <c r="C34" s="12">
        <v>9</v>
      </c>
      <c r="D34" s="5">
        <f>VLOOKUP(E34,Sheet2!A:C,2,FALSE)</f>
        <v>2</v>
      </c>
      <c r="E34" s="4" t="s">
        <v>475</v>
      </c>
      <c r="F34" s="5">
        <v>9</v>
      </c>
      <c r="G34" s="5" t="str">
        <f t="shared" si="0"/>
        <v/>
      </c>
      <c r="H34" s="9"/>
      <c r="I34" s="9"/>
      <c r="J34" s="4" t="str">
        <f t="shared" si="1"/>
        <v/>
      </c>
      <c r="K34" s="4" t="s">
        <v>62</v>
      </c>
      <c r="L34" s="6" t="s">
        <v>660</v>
      </c>
      <c r="M34" s="6" t="str">
        <f t="shared" si="2"/>
        <v>'EXO-9' =&gt; array('N'=&gt;'', 'C'=&gt;"The Fifth Plague: Livestock Disease", 'F'=&gt;'Hebrew-OT-033-The-Fifth-Plague-Livestock-Disease'),</v>
      </c>
    </row>
    <row r="35" spans="1:13" x14ac:dyDescent="0.25">
      <c r="A35" s="7">
        <v>2</v>
      </c>
      <c r="B35" s="4" t="s">
        <v>63</v>
      </c>
      <c r="C35" s="12">
        <v>10</v>
      </c>
      <c r="D35" s="5">
        <f>VLOOKUP(E35,Sheet2!A:C,2,FALSE)</f>
        <v>2</v>
      </c>
      <c r="E35" s="4" t="s">
        <v>475</v>
      </c>
      <c r="F35" s="5">
        <v>10</v>
      </c>
      <c r="G35" s="5" t="str">
        <f t="shared" si="0"/>
        <v/>
      </c>
      <c r="H35" s="9"/>
      <c r="I35" s="9"/>
      <c r="J35" s="4" t="str">
        <f t="shared" si="1"/>
        <v/>
      </c>
      <c r="K35" s="4" t="s">
        <v>64</v>
      </c>
      <c r="L35" s="6" t="s">
        <v>661</v>
      </c>
      <c r="M35" s="6" t="str">
        <f t="shared" si="2"/>
        <v>'EXO-10' =&gt; array('N'=&gt;'', 'C'=&gt;"The Ninth Plague: Darkness", 'F'=&gt;'Hebrew-OT-034-The-Ninth-Plague-Darkness'),</v>
      </c>
    </row>
    <row r="36" spans="1:13" x14ac:dyDescent="0.25">
      <c r="A36" s="7">
        <v>2</v>
      </c>
      <c r="B36" s="4" t="s">
        <v>65</v>
      </c>
      <c r="C36" s="12">
        <v>12.1</v>
      </c>
      <c r="D36" s="5">
        <f>VLOOKUP(E36,Sheet2!A:C,2,FALSE)</f>
        <v>2</v>
      </c>
      <c r="E36" s="4" t="s">
        <v>475</v>
      </c>
      <c r="F36" s="5">
        <v>12</v>
      </c>
      <c r="G36" s="5" t="str">
        <f t="shared" si="0"/>
        <v/>
      </c>
      <c r="H36" s="9"/>
      <c r="I36" s="9">
        <v>2</v>
      </c>
      <c r="J36" s="4" t="str">
        <f t="shared" si="1"/>
        <v/>
      </c>
      <c r="K36" s="4" t="s">
        <v>66</v>
      </c>
      <c r="L36" s="6" t="s">
        <v>662</v>
      </c>
      <c r="M36" s="6" t="str">
        <f t="shared" si="2"/>
        <v>'EXO-12' =&gt; array('N'=&gt;'2', 'C'=&gt;"The Firstborn of the Egyptians Are Slain", 'F'=&gt;'Hebrew-OT-035-The-Firstborn-of-the-Egyptians-Are-Slain'),</v>
      </c>
    </row>
    <row r="37" spans="1:13" x14ac:dyDescent="0.25">
      <c r="A37" s="7">
        <v>2</v>
      </c>
      <c r="B37" s="4" t="s">
        <v>67</v>
      </c>
      <c r="C37" s="12">
        <v>12.2</v>
      </c>
      <c r="D37" s="5">
        <f>VLOOKUP(E37,Sheet2!A:C,2,FALSE)</f>
        <v>2</v>
      </c>
      <c r="E37" s="4" t="s">
        <v>475</v>
      </c>
      <c r="F37" s="5">
        <v>12</v>
      </c>
      <c r="G37" s="5" t="str">
        <f t="shared" si="0"/>
        <v>MULT</v>
      </c>
      <c r="H37" s="9">
        <v>2</v>
      </c>
      <c r="I37" s="9"/>
      <c r="J37" s="4" t="str">
        <f t="shared" si="1"/>
        <v/>
      </c>
      <c r="K37" s="4" t="s">
        <v>68</v>
      </c>
      <c r="L37" s="6" t="s">
        <v>663</v>
      </c>
      <c r="M37" s="6" t="str">
        <f t="shared" si="2"/>
        <v>'EXO-12-2' =&gt; array('N'=&gt;'', 'C'=&gt;"The Egyptians Ask Moses to Depart", 'F'=&gt;'Hebrew-OT-036-The-Egyptians-Ask-Moses-to-Depart'),</v>
      </c>
    </row>
    <row r="38" spans="1:13" x14ac:dyDescent="0.25">
      <c r="A38" s="7">
        <v>2</v>
      </c>
      <c r="B38" s="4" t="s">
        <v>69</v>
      </c>
      <c r="C38" s="12">
        <v>14</v>
      </c>
      <c r="D38" s="5">
        <f>VLOOKUP(E38,Sheet2!A:C,2,FALSE)</f>
        <v>2</v>
      </c>
      <c r="E38" s="4" t="s">
        <v>475</v>
      </c>
      <c r="F38" s="5">
        <v>14</v>
      </c>
      <c r="G38" s="5" t="str">
        <f t="shared" si="0"/>
        <v/>
      </c>
      <c r="H38" s="9"/>
      <c r="I38" s="9"/>
      <c r="J38" s="4" t="str">
        <f t="shared" si="1"/>
        <v/>
      </c>
      <c r="K38" s="4" t="s">
        <v>70</v>
      </c>
      <c r="L38" s="6" t="s">
        <v>664</v>
      </c>
      <c r="M38" s="6" t="str">
        <f t="shared" si="2"/>
        <v>'EXO-14' =&gt; array('N'=&gt;'', 'C'=&gt;"The Egyptians Drown in the Sea", 'F'=&gt;'Hebrew-OT-037-The-Egyptians-Drown-in-the-Sea'),</v>
      </c>
    </row>
    <row r="39" spans="1:13" x14ac:dyDescent="0.25">
      <c r="A39" s="7">
        <v>2</v>
      </c>
      <c r="B39" s="4" t="s">
        <v>71</v>
      </c>
      <c r="C39" s="12">
        <v>17</v>
      </c>
      <c r="D39" s="5">
        <f>VLOOKUP(E39,Sheet2!A:C,2,FALSE)</f>
        <v>2</v>
      </c>
      <c r="E39" s="4" t="s">
        <v>475</v>
      </c>
      <c r="F39" s="5">
        <v>17</v>
      </c>
      <c r="G39" s="5" t="str">
        <f t="shared" si="0"/>
        <v/>
      </c>
      <c r="H39" s="9"/>
      <c r="I39" s="9"/>
      <c r="J39" s="4" t="str">
        <f t="shared" si="1"/>
        <v/>
      </c>
      <c r="K39" s="4" t="s">
        <v>72</v>
      </c>
      <c r="L39" s="6" t="s">
        <v>665</v>
      </c>
      <c r="M39" s="6" t="str">
        <f t="shared" si="2"/>
        <v>'EXO-17' =&gt; array('N'=&gt;'', 'C'=&gt;"Moses Strikes the Rock at Horeb", 'F'=&gt;'Hebrew-OT-038-Moses-Strikes-the-Rock-at-Horeb'),</v>
      </c>
    </row>
    <row r="40" spans="1:13" x14ac:dyDescent="0.25">
      <c r="A40" s="7">
        <v>2</v>
      </c>
      <c r="B40" s="4" t="s">
        <v>73</v>
      </c>
      <c r="C40" s="12">
        <v>19</v>
      </c>
      <c r="D40" s="5">
        <f>VLOOKUP(E40,Sheet2!A:C,2,FALSE)</f>
        <v>2</v>
      </c>
      <c r="E40" s="4" t="s">
        <v>475</v>
      </c>
      <c r="F40" s="5">
        <v>19</v>
      </c>
      <c r="G40" s="5" t="str">
        <f t="shared" si="0"/>
        <v/>
      </c>
      <c r="H40" s="9"/>
      <c r="I40" s="9"/>
      <c r="J40" s="4" t="str">
        <f t="shared" si="1"/>
        <v/>
      </c>
      <c r="K40" s="4" t="s">
        <v>74</v>
      </c>
      <c r="L40" s="6" t="s">
        <v>666</v>
      </c>
      <c r="M40" s="6" t="str">
        <f t="shared" si="2"/>
        <v>'EXO-19' =&gt; array('N'=&gt;'', 'C'=&gt;"The Giving of the Law on Mount Sinai", 'F'=&gt;'Hebrew-OT-039-The-Giving-of-the-Law-on-Mount-Sinai'),</v>
      </c>
    </row>
    <row r="41" spans="1:13" x14ac:dyDescent="0.25">
      <c r="A41" s="7">
        <v>2</v>
      </c>
      <c r="B41" s="4" t="s">
        <v>75</v>
      </c>
      <c r="C41" s="12">
        <v>32.1</v>
      </c>
      <c r="D41" s="5">
        <f>VLOOKUP(E41,Sheet2!A:C,2,FALSE)</f>
        <v>2</v>
      </c>
      <c r="E41" s="4" t="s">
        <v>475</v>
      </c>
      <c r="F41" s="5">
        <v>32</v>
      </c>
      <c r="G41" s="5" t="str">
        <f t="shared" si="0"/>
        <v/>
      </c>
      <c r="H41" s="9"/>
      <c r="I41" s="9">
        <v>2</v>
      </c>
      <c r="J41" s="4" t="str">
        <f t="shared" si="1"/>
        <v/>
      </c>
      <c r="K41" s="4" t="s">
        <v>76</v>
      </c>
      <c r="L41" s="6" t="s">
        <v>667</v>
      </c>
      <c r="M41" s="6" t="str">
        <f t="shared" si="2"/>
        <v>'EXO-32' =&gt; array('N'=&gt;'2', 'C'=&gt;"Moses Comes Down from Mount Sinai", 'F'=&gt;'Hebrew-OT-040-Moses-Comes-Down-from-Mount-Sinai'),</v>
      </c>
    </row>
    <row r="42" spans="1:13" x14ac:dyDescent="0.25">
      <c r="A42" s="7">
        <v>2</v>
      </c>
      <c r="B42" s="4" t="s">
        <v>77</v>
      </c>
      <c r="C42" s="12">
        <v>32.200000000000003</v>
      </c>
      <c r="D42" s="5">
        <f>VLOOKUP(E42,Sheet2!A:C,2,FALSE)</f>
        <v>2</v>
      </c>
      <c r="E42" s="4" t="s">
        <v>475</v>
      </c>
      <c r="F42" s="5">
        <v>32</v>
      </c>
      <c r="G42" s="5" t="str">
        <f t="shared" si="0"/>
        <v>MULT</v>
      </c>
      <c r="H42" s="9">
        <v>2</v>
      </c>
      <c r="I42" s="9"/>
      <c r="J42" s="4" t="str">
        <f t="shared" si="1"/>
        <v/>
      </c>
      <c r="K42" s="4" t="s">
        <v>78</v>
      </c>
      <c r="L42" s="6" t="s">
        <v>668</v>
      </c>
      <c r="M42" s="6" t="str">
        <f t="shared" si="2"/>
        <v>'EXO-32-2' =&gt; array('N'=&gt;'', 'C'=&gt;"Moses Breaks the Tables of the Law", 'F'=&gt;'Hebrew-OT-041-Moses-Breaks-the-Tables-of-the-Law'),</v>
      </c>
    </row>
    <row r="43" spans="1:13" x14ac:dyDescent="0.25">
      <c r="A43" s="7">
        <v>4</v>
      </c>
      <c r="B43" s="4" t="s">
        <v>79</v>
      </c>
      <c r="C43" s="12">
        <v>13</v>
      </c>
      <c r="D43" s="5">
        <f>VLOOKUP(E43,Sheet2!A:C,2,FALSE)</f>
        <v>4</v>
      </c>
      <c r="E43" s="4" t="s">
        <v>492</v>
      </c>
      <c r="F43" s="5">
        <v>13</v>
      </c>
      <c r="G43" s="5" t="str">
        <f t="shared" si="0"/>
        <v/>
      </c>
      <c r="H43" s="9"/>
      <c r="I43" s="9"/>
      <c r="J43" s="4" t="str">
        <f t="shared" si="1"/>
        <v/>
      </c>
      <c r="K43" s="4" t="s">
        <v>80</v>
      </c>
      <c r="L43" s="6" t="s">
        <v>669</v>
      </c>
      <c r="M43" s="6" t="str">
        <f t="shared" si="2"/>
        <v>'NUM-13' =&gt; array('N'=&gt;'', 'C'=&gt;"The Spies Return from the Promised Land", 'F'=&gt;'Hebrew-OT-042-The-Spies-Return-from-the-Promised-Land'),</v>
      </c>
    </row>
    <row r="44" spans="1:13" x14ac:dyDescent="0.25">
      <c r="A44" s="7">
        <v>4</v>
      </c>
      <c r="B44" s="4" t="s">
        <v>81</v>
      </c>
      <c r="C44" s="12">
        <v>16</v>
      </c>
      <c r="D44" s="5">
        <f>VLOOKUP(E44,Sheet2!A:C,2,FALSE)</f>
        <v>4</v>
      </c>
      <c r="E44" s="4" t="s">
        <v>492</v>
      </c>
      <c r="F44" s="5">
        <v>16</v>
      </c>
      <c r="G44" s="5" t="str">
        <f t="shared" si="0"/>
        <v/>
      </c>
      <c r="H44" s="9"/>
      <c r="I44" s="9"/>
      <c r="J44" s="4" t="str">
        <f t="shared" si="1"/>
        <v/>
      </c>
      <c r="K44" s="4" t="s">
        <v>82</v>
      </c>
      <c r="L44" s="6" t="s">
        <v>670</v>
      </c>
      <c r="M44" s="6" t="str">
        <f t="shared" si="2"/>
        <v>'NUM-16' =&gt; array('N'=&gt;'', 'C'=&gt;"The Death of Korah, Dathan, and Abiram", 'F'=&gt;'Hebrew-OT-043-The-Death-of-Korah-Dathan-and-Abiram'),</v>
      </c>
    </row>
    <row r="45" spans="1:13" x14ac:dyDescent="0.25">
      <c r="A45" s="7">
        <v>4</v>
      </c>
      <c r="B45" s="4" t="s">
        <v>83</v>
      </c>
      <c r="C45" s="12">
        <v>21</v>
      </c>
      <c r="D45" s="5">
        <f>VLOOKUP(E45,Sheet2!A:C,2,FALSE)</f>
        <v>4</v>
      </c>
      <c r="E45" s="4" t="s">
        <v>492</v>
      </c>
      <c r="F45" s="5">
        <v>21</v>
      </c>
      <c r="G45" s="5" t="str">
        <f t="shared" si="0"/>
        <v/>
      </c>
      <c r="H45" s="9"/>
      <c r="I45" s="9"/>
      <c r="J45" s="4" t="str">
        <f t="shared" si="1"/>
        <v/>
      </c>
      <c r="K45" s="4" t="s">
        <v>84</v>
      </c>
      <c r="L45" s="6" t="s">
        <v>671</v>
      </c>
      <c r="M45" s="6" t="str">
        <f t="shared" si="2"/>
        <v>'NUM-21' =&gt; array('N'=&gt;'', 'C'=&gt;"The Bronze Serpent", 'F'=&gt;'Hebrew-OT-044-The-Bronze-Serpent'),</v>
      </c>
    </row>
    <row r="46" spans="1:13" x14ac:dyDescent="0.25">
      <c r="A46" s="7">
        <v>4</v>
      </c>
      <c r="B46" s="4" t="s">
        <v>85</v>
      </c>
      <c r="C46" s="12">
        <v>22</v>
      </c>
      <c r="D46" s="5">
        <f>VLOOKUP(E46,Sheet2!A:C,2,FALSE)</f>
        <v>4</v>
      </c>
      <c r="E46" s="4" t="s">
        <v>492</v>
      </c>
      <c r="F46" s="5">
        <v>22</v>
      </c>
      <c r="G46" s="5" t="str">
        <f t="shared" si="0"/>
        <v/>
      </c>
      <c r="H46" s="9"/>
      <c r="I46" s="9"/>
      <c r="J46" s="4" t="str">
        <f t="shared" si="1"/>
        <v/>
      </c>
      <c r="K46" s="4" t="s">
        <v>86</v>
      </c>
      <c r="L46" s="6" t="s">
        <v>672</v>
      </c>
      <c r="M46" s="6" t="str">
        <f t="shared" si="2"/>
        <v>'NUM-22' =&gt; array('N'=&gt;'', 'C'=&gt;"An Angel Appears to Balaam", 'F'=&gt;'Hebrew-OT-045-An-Angel-Appears-to-Balaam'),</v>
      </c>
    </row>
    <row r="47" spans="1:13" x14ac:dyDescent="0.25">
      <c r="A47" s="7">
        <v>6</v>
      </c>
      <c r="B47" s="4" t="s">
        <v>87</v>
      </c>
      <c r="C47" s="12">
        <v>3</v>
      </c>
      <c r="D47" s="5">
        <f>VLOOKUP(E47,Sheet2!A:C,2,FALSE)</f>
        <v>6</v>
      </c>
      <c r="E47" s="4" t="s">
        <v>484</v>
      </c>
      <c r="F47" s="5">
        <v>3</v>
      </c>
      <c r="G47" s="5" t="str">
        <f t="shared" si="0"/>
        <v/>
      </c>
      <c r="H47" s="9"/>
      <c r="I47" s="9"/>
      <c r="J47" s="4" t="str">
        <f t="shared" si="1"/>
        <v/>
      </c>
      <c r="K47" s="4" t="s">
        <v>88</v>
      </c>
      <c r="L47" s="6" t="s">
        <v>673</v>
      </c>
      <c r="M47" s="6" t="str">
        <f t="shared" si="2"/>
        <v>'JOS-3' =&gt; array('N'=&gt;'', 'C'=&gt;"The Israelites Cross the Jordan River", 'F'=&gt;'Hebrew-OT-046-The-Israelites-Cross-the-Jordan-River'),</v>
      </c>
    </row>
    <row r="48" spans="1:13" x14ac:dyDescent="0.25">
      <c r="A48" s="7">
        <v>6</v>
      </c>
      <c r="B48" s="4" t="s">
        <v>89</v>
      </c>
      <c r="C48" s="12">
        <v>6.1</v>
      </c>
      <c r="D48" s="5">
        <f>VLOOKUP(E48,Sheet2!A:C,2,FALSE)</f>
        <v>6</v>
      </c>
      <c r="E48" s="4" t="s">
        <v>484</v>
      </c>
      <c r="F48" s="5">
        <v>6</v>
      </c>
      <c r="G48" s="5" t="str">
        <f t="shared" si="0"/>
        <v/>
      </c>
      <c r="H48" s="9"/>
      <c r="I48" s="9">
        <v>2</v>
      </c>
      <c r="J48" s="4" t="str">
        <f t="shared" si="1"/>
        <v/>
      </c>
      <c r="K48" s="4" t="s">
        <v>90</v>
      </c>
      <c r="L48" s="6" t="s">
        <v>674</v>
      </c>
      <c r="M48" s="6" t="str">
        <f t="shared" si="2"/>
        <v>'JOS-6' =&gt; array('N'=&gt;'2', 'C'=&gt;"The Walls of Jericho Fall Down", 'F'=&gt;'Hebrew-OT-048-The-Walls-of-Jericho-Fall-Down'),</v>
      </c>
    </row>
    <row r="49" spans="1:13" x14ac:dyDescent="0.25">
      <c r="A49" s="7">
        <v>6</v>
      </c>
      <c r="B49" s="4" t="s">
        <v>91</v>
      </c>
      <c r="C49" s="12">
        <v>6.2</v>
      </c>
      <c r="D49" s="5">
        <f>VLOOKUP(E49,Sheet2!A:C,2,FALSE)</f>
        <v>6</v>
      </c>
      <c r="E49" s="4" t="s">
        <v>484</v>
      </c>
      <c r="F49" s="5">
        <v>6</v>
      </c>
      <c r="G49" s="5" t="str">
        <f t="shared" si="0"/>
        <v>MULT</v>
      </c>
      <c r="H49" s="9">
        <v>2</v>
      </c>
      <c r="I49" s="9"/>
      <c r="J49" s="4" t="str">
        <f t="shared" si="1"/>
        <v/>
      </c>
      <c r="K49" s="4" t="s">
        <v>92</v>
      </c>
      <c r="L49" s="6" t="s">
        <v>675</v>
      </c>
      <c r="M49" s="6" t="str">
        <f t="shared" si="2"/>
        <v>'JOS-6-2' =&gt; array('N'=&gt;'', 'C'=&gt;"Joshua Spares Rahab", 'F'=&gt;'Hebrew-OT-049-Joshua-Spares-Rahab'),</v>
      </c>
    </row>
    <row r="50" spans="1:13" x14ac:dyDescent="0.25">
      <c r="A50" s="7">
        <v>6</v>
      </c>
      <c r="B50" s="4" t="s">
        <v>93</v>
      </c>
      <c r="C50" s="12">
        <v>7</v>
      </c>
      <c r="D50" s="5">
        <f>VLOOKUP(E50,Sheet2!A:C,2,FALSE)</f>
        <v>6</v>
      </c>
      <c r="E50" s="4" t="s">
        <v>484</v>
      </c>
      <c r="F50" s="5">
        <v>7</v>
      </c>
      <c r="G50" s="5" t="str">
        <f t="shared" si="0"/>
        <v/>
      </c>
      <c r="H50" s="9"/>
      <c r="I50" s="9"/>
      <c r="J50" s="4" t="str">
        <f t="shared" si="1"/>
        <v/>
      </c>
      <c r="K50" s="4" t="s">
        <v>439</v>
      </c>
      <c r="L50" s="6" t="s">
        <v>676</v>
      </c>
      <c r="M50" s="6" t="str">
        <f t="shared" si="2"/>
        <v>'JOS-7' =&gt; array('N'=&gt;'', 'C'=&gt;"Achan is Stoned to Death", 'F'=&gt;'Hebrew-OT-050-Achan-is-Stoned-to-Death'),</v>
      </c>
    </row>
    <row r="51" spans="1:13" x14ac:dyDescent="0.25">
      <c r="A51" s="7">
        <v>6</v>
      </c>
      <c r="B51" s="4" t="s">
        <v>94</v>
      </c>
      <c r="C51" s="12">
        <v>8</v>
      </c>
      <c r="D51" s="5">
        <f>VLOOKUP(E51,Sheet2!A:C,2,FALSE)</f>
        <v>6</v>
      </c>
      <c r="E51" s="4" t="s">
        <v>484</v>
      </c>
      <c r="F51" s="5">
        <v>8</v>
      </c>
      <c r="G51" s="5" t="str">
        <f t="shared" si="0"/>
        <v/>
      </c>
      <c r="H51" s="9"/>
      <c r="I51" s="9"/>
      <c r="J51" s="4" t="str">
        <f t="shared" si="1"/>
        <v/>
      </c>
      <c r="K51" s="4" t="s">
        <v>95</v>
      </c>
      <c r="L51" s="6" t="s">
        <v>677</v>
      </c>
      <c r="M51" s="6" t="str">
        <f t="shared" si="2"/>
        <v>'JOS-8' =&gt; array('N'=&gt;'', 'C'=&gt;"Joshua Burns the Town of Ai", 'F'=&gt;'Hebrew-OT-051-Joshua-Burns-the-Town-of-Ai'),</v>
      </c>
    </row>
    <row r="52" spans="1:13" x14ac:dyDescent="0.25">
      <c r="A52" s="7">
        <v>6</v>
      </c>
      <c r="B52" s="4" t="s">
        <v>96</v>
      </c>
      <c r="C52" s="12">
        <v>10.1</v>
      </c>
      <c r="D52" s="5">
        <f>VLOOKUP(E52,Sheet2!A:C,2,FALSE)</f>
        <v>6</v>
      </c>
      <c r="E52" s="4" t="s">
        <v>484</v>
      </c>
      <c r="F52" s="5">
        <v>10</v>
      </c>
      <c r="G52" s="5" t="str">
        <f t="shared" si="0"/>
        <v/>
      </c>
      <c r="H52" s="9"/>
      <c r="I52" s="9">
        <v>2</v>
      </c>
      <c r="J52" s="4" t="str">
        <f t="shared" si="1"/>
        <v/>
      </c>
      <c r="K52" s="4" t="s">
        <v>440</v>
      </c>
      <c r="L52" s="6" t="s">
        <v>678</v>
      </c>
      <c r="M52" s="6" t="str">
        <f t="shared" si="2"/>
        <v>'JOS-10' =&gt; array('N'=&gt;'2', 'C'=&gt;"The Army of the Amorites is Destroyed", 'F'=&gt;'Hebrew-OT-052-The-Army-of-the-Amorites-is-Destroyed'),</v>
      </c>
    </row>
    <row r="53" spans="1:13" x14ac:dyDescent="0.25">
      <c r="A53" s="7">
        <v>6</v>
      </c>
      <c r="B53" s="4" t="s">
        <v>97</v>
      </c>
      <c r="C53" s="12">
        <v>10.199999999999999</v>
      </c>
      <c r="D53" s="5">
        <f>VLOOKUP(E53,Sheet2!A:C,2,FALSE)</f>
        <v>6</v>
      </c>
      <c r="E53" s="4" t="s">
        <v>484</v>
      </c>
      <c r="F53" s="5">
        <v>10</v>
      </c>
      <c r="G53" s="5" t="str">
        <f t="shared" si="0"/>
        <v>MULT</v>
      </c>
      <c r="H53" s="9">
        <v>2</v>
      </c>
      <c r="I53" s="9"/>
      <c r="J53" s="4" t="str">
        <f t="shared" si="1"/>
        <v/>
      </c>
      <c r="K53" s="4" t="s">
        <v>98</v>
      </c>
      <c r="L53" s="6" t="s">
        <v>679</v>
      </c>
      <c r="M53" s="6" t="str">
        <f t="shared" si="2"/>
        <v>'JOS-10-2' =&gt; array('N'=&gt;'', 'C'=&gt;"Joshua Commands the Sun to Stand Still", 'F'=&gt;'Hebrew-OT-053-Joshua-Commands-the-Sun-to-Stand-Still'),</v>
      </c>
    </row>
    <row r="54" spans="1:13" x14ac:dyDescent="0.25">
      <c r="A54" s="7">
        <v>7</v>
      </c>
      <c r="B54" s="4" t="s">
        <v>99</v>
      </c>
      <c r="C54" s="12">
        <v>2</v>
      </c>
      <c r="D54" s="5">
        <f>VLOOKUP(E54,Sheet2!A:C,2,FALSE)</f>
        <v>7</v>
      </c>
      <c r="E54" s="4" t="s">
        <v>486</v>
      </c>
      <c r="F54" s="5">
        <v>2</v>
      </c>
      <c r="G54" s="5" t="str">
        <f t="shared" si="0"/>
        <v/>
      </c>
      <c r="H54" s="9"/>
      <c r="I54" s="9"/>
      <c r="J54" s="4" t="str">
        <f t="shared" si="1"/>
        <v/>
      </c>
      <c r="K54" s="4" t="s">
        <v>100</v>
      </c>
      <c r="L54" s="6" t="s">
        <v>680</v>
      </c>
      <c r="M54" s="6" t="str">
        <f t="shared" si="2"/>
        <v>'JDG-2' =&gt; array('N'=&gt;'', 'C'=&gt;"An Angel Appears to the Israelites", 'F'=&gt;'Hebrew-OT-047-An-Angel-Appears-to-the-Israelites'),</v>
      </c>
    </row>
    <row r="55" spans="1:13" x14ac:dyDescent="0.25">
      <c r="A55" s="7">
        <v>7</v>
      </c>
      <c r="B55" s="4" t="s">
        <v>101</v>
      </c>
      <c r="C55" s="12">
        <v>4</v>
      </c>
      <c r="D55" s="5">
        <f>VLOOKUP(E55,Sheet2!A:C,2,FALSE)</f>
        <v>7</v>
      </c>
      <c r="E55" s="4" t="s">
        <v>486</v>
      </c>
      <c r="F55" s="5">
        <v>4</v>
      </c>
      <c r="G55" s="5" t="str">
        <f t="shared" si="0"/>
        <v/>
      </c>
      <c r="H55" s="9"/>
      <c r="I55" s="9"/>
      <c r="J55" s="4" t="str">
        <f t="shared" si="1"/>
        <v/>
      </c>
      <c r="K55" s="4" t="s">
        <v>102</v>
      </c>
      <c r="L55" s="6" t="s">
        <v>681</v>
      </c>
      <c r="M55" s="6" t="str">
        <f t="shared" si="2"/>
        <v>'JDG-4' =&gt; array('N'=&gt;'', 'C'=&gt;"Jael Kills Sisera", 'F'=&gt;'Hebrew-OT-054-Jael-Kills-Sisera'),</v>
      </c>
    </row>
    <row r="56" spans="1:13" x14ac:dyDescent="0.25">
      <c r="A56" s="7">
        <v>7</v>
      </c>
      <c r="B56" s="4" t="s">
        <v>103</v>
      </c>
      <c r="C56" s="12">
        <v>5</v>
      </c>
      <c r="D56" s="5">
        <f>VLOOKUP(E56,Sheet2!A:C,2,FALSE)</f>
        <v>7</v>
      </c>
      <c r="E56" s="4" t="s">
        <v>486</v>
      </c>
      <c r="F56" s="5">
        <v>5</v>
      </c>
      <c r="G56" s="5" t="str">
        <f t="shared" si="0"/>
        <v/>
      </c>
      <c r="H56" s="9"/>
      <c r="I56" s="9"/>
      <c r="J56" s="4" t="str">
        <f t="shared" si="1"/>
        <v/>
      </c>
      <c r="K56" s="4" t="s">
        <v>104</v>
      </c>
      <c r="L56" s="6" t="s">
        <v>682</v>
      </c>
      <c r="M56" s="6" t="str">
        <f t="shared" si="2"/>
        <v>'JDG-5' =&gt; array('N'=&gt;'', 'C'=&gt;"Deborah Praises Jael", 'F'=&gt;'Hebrew-OT-055-Deborah-Praises-Jael'),</v>
      </c>
    </row>
    <row r="57" spans="1:13" x14ac:dyDescent="0.25">
      <c r="A57" s="7">
        <v>7</v>
      </c>
      <c r="B57" s="4" t="s">
        <v>105</v>
      </c>
      <c r="C57" s="12">
        <v>7.1</v>
      </c>
      <c r="D57" s="5">
        <f>VLOOKUP(E57,Sheet2!A:C,2,FALSE)</f>
        <v>7</v>
      </c>
      <c r="E57" s="4" t="s">
        <v>486</v>
      </c>
      <c r="F57" s="5">
        <v>7</v>
      </c>
      <c r="G57" s="5" t="str">
        <f t="shared" si="0"/>
        <v/>
      </c>
      <c r="H57" s="9"/>
      <c r="I57" s="9">
        <v>2</v>
      </c>
      <c r="J57" s="4" t="str">
        <f t="shared" si="1"/>
        <v/>
      </c>
      <c r="K57" s="4" t="s">
        <v>106</v>
      </c>
      <c r="L57" s="6" t="s">
        <v>683</v>
      </c>
      <c r="M57" s="6" t="str">
        <f t="shared" si="2"/>
        <v>'JDG-7' =&gt; array('N'=&gt;'2', 'C'=&gt;"Gideon Chooses 300 Soldiers", 'F'=&gt;'Hebrew-OT-056-Gideon-Chooses-300-Soldiers'),</v>
      </c>
    </row>
    <row r="58" spans="1:13" x14ac:dyDescent="0.25">
      <c r="A58" s="7">
        <v>7</v>
      </c>
      <c r="B58" s="4" t="s">
        <v>107</v>
      </c>
      <c r="C58" s="12">
        <v>7.2</v>
      </c>
      <c r="D58" s="5">
        <f>VLOOKUP(E58,Sheet2!A:C,2,FALSE)</f>
        <v>7</v>
      </c>
      <c r="E58" s="4" t="s">
        <v>486</v>
      </c>
      <c r="F58" s="5">
        <v>7</v>
      </c>
      <c r="G58" s="5" t="str">
        <f t="shared" si="0"/>
        <v>MULT</v>
      </c>
      <c r="H58" s="9">
        <v>2</v>
      </c>
      <c r="I58" s="9"/>
      <c r="J58" s="4" t="str">
        <f t="shared" si="1"/>
        <v/>
      </c>
      <c r="K58" s="4" t="s">
        <v>108</v>
      </c>
      <c r="L58" s="6" t="s">
        <v>684</v>
      </c>
      <c r="M58" s="6" t="str">
        <f t="shared" si="2"/>
        <v>'JDG-7-2' =&gt; array('N'=&gt;'', 'C'=&gt;"The Midianites Are Routed", 'F'=&gt;'Hebrew-OT-057-The-Midianites-Are-Routed'),</v>
      </c>
    </row>
    <row r="59" spans="1:13" x14ac:dyDescent="0.25">
      <c r="A59" s="7">
        <v>7</v>
      </c>
      <c r="B59" s="4" t="s">
        <v>109</v>
      </c>
      <c r="C59" s="12">
        <v>9.1</v>
      </c>
      <c r="D59" s="5">
        <f>VLOOKUP(E59,Sheet2!A:C,2,FALSE)</f>
        <v>7</v>
      </c>
      <c r="E59" s="4" t="s">
        <v>486</v>
      </c>
      <c r="F59" s="5">
        <v>9</v>
      </c>
      <c r="G59" s="5" t="str">
        <f t="shared" si="0"/>
        <v/>
      </c>
      <c r="H59" s="9"/>
      <c r="I59" s="9">
        <v>2</v>
      </c>
      <c r="J59" s="4" t="str">
        <f t="shared" si="1"/>
        <v/>
      </c>
      <c r="K59" s="4" t="s">
        <v>110</v>
      </c>
      <c r="L59" s="6" t="s">
        <v>685</v>
      </c>
      <c r="M59" s="6" t="str">
        <f t="shared" si="2"/>
        <v>'JDG-9' =&gt; array('N'=&gt;'2', 'C'=&gt;"The Death of Gideon's Sons", 'F'=&gt;'Hebrew-OT-058-The-Death-of-Gideons-Sons'),</v>
      </c>
    </row>
    <row r="60" spans="1:13" x14ac:dyDescent="0.25">
      <c r="A60" s="7">
        <v>7</v>
      </c>
      <c r="B60" s="4" t="s">
        <v>111</v>
      </c>
      <c r="C60" s="12">
        <v>9.1999999999999993</v>
      </c>
      <c r="D60" s="5">
        <f>VLOOKUP(E60,Sheet2!A:C,2,FALSE)</f>
        <v>7</v>
      </c>
      <c r="E60" s="4" t="s">
        <v>486</v>
      </c>
      <c r="F60" s="5">
        <v>9</v>
      </c>
      <c r="G60" s="5" t="str">
        <f t="shared" si="0"/>
        <v>MULT</v>
      </c>
      <c r="H60" s="9">
        <v>2</v>
      </c>
      <c r="I60" s="9"/>
      <c r="J60" s="4" t="str">
        <f t="shared" si="1"/>
        <v/>
      </c>
      <c r="K60" s="4" t="s">
        <v>112</v>
      </c>
      <c r="L60" s="6" t="s">
        <v>686</v>
      </c>
      <c r="M60" s="6" t="str">
        <f t="shared" si="2"/>
        <v>'JDG-9-2' =&gt; array('N'=&gt;'', 'C'=&gt;"The Death of Abimelech", 'F'=&gt;'Hebrew-OT-059-The-Death-of-Abimelech'),</v>
      </c>
    </row>
    <row r="61" spans="1:13" x14ac:dyDescent="0.25">
      <c r="A61" s="7">
        <v>7</v>
      </c>
      <c r="B61" s="4" t="s">
        <v>113</v>
      </c>
      <c r="C61" s="12">
        <v>11.1</v>
      </c>
      <c r="D61" s="5">
        <f>VLOOKUP(E61,Sheet2!A:C,2,FALSE)</f>
        <v>7</v>
      </c>
      <c r="E61" s="4" t="s">
        <v>486</v>
      </c>
      <c r="F61" s="5">
        <v>11</v>
      </c>
      <c r="G61" s="5" t="str">
        <f t="shared" si="0"/>
        <v/>
      </c>
      <c r="H61" s="9"/>
      <c r="I61" s="9">
        <v>2</v>
      </c>
      <c r="J61" s="4" t="str">
        <f t="shared" si="1"/>
        <v/>
      </c>
      <c r="K61" s="4" t="s">
        <v>114</v>
      </c>
      <c r="L61" s="6" t="s">
        <v>687</v>
      </c>
      <c r="M61" s="6" t="str">
        <f t="shared" si="2"/>
        <v>'JDG-11' =&gt; array('N'=&gt;'2', 'C'=&gt;"Jephthah's Daughter Comes to Meet Her Father", 'F'=&gt;'Hebrew-OT-060-Jephthahs-Daughter-Comes-to-Meet-Her-Father'),</v>
      </c>
    </row>
    <row r="62" spans="1:13" x14ac:dyDescent="0.25">
      <c r="A62" s="7">
        <v>7</v>
      </c>
      <c r="B62" s="4" t="s">
        <v>115</v>
      </c>
      <c r="C62" s="12">
        <v>11.2</v>
      </c>
      <c r="D62" s="5">
        <f>VLOOKUP(E62,Sheet2!A:C,2,FALSE)</f>
        <v>7</v>
      </c>
      <c r="E62" s="4" t="s">
        <v>486</v>
      </c>
      <c r="F62" s="5">
        <v>11</v>
      </c>
      <c r="G62" s="5" t="str">
        <f t="shared" si="0"/>
        <v>MULT</v>
      </c>
      <c r="H62" s="9">
        <v>2</v>
      </c>
      <c r="I62" s="9"/>
      <c r="J62" s="4" t="str">
        <f t="shared" si="1"/>
        <v/>
      </c>
      <c r="K62" s="4" t="s">
        <v>116</v>
      </c>
      <c r="L62" s="6" t="s">
        <v>688</v>
      </c>
      <c r="M62" s="6" t="str">
        <f t="shared" si="2"/>
        <v>'JDG-11-2' =&gt; array('N'=&gt;'', 'C'=&gt;"Israelite Women Mourn with Jephthah's Daughter", 'F'=&gt;'Hebrew-OT-061-Israelite-Women-Mourn-with-Jephthahs-Daughter'),</v>
      </c>
    </row>
    <row r="63" spans="1:13" x14ac:dyDescent="0.25">
      <c r="A63" s="7">
        <v>7</v>
      </c>
      <c r="B63" s="4" t="s">
        <v>117</v>
      </c>
      <c r="C63" s="12">
        <v>14</v>
      </c>
      <c r="D63" s="5">
        <f>VLOOKUP(E63,Sheet2!A:C,2,FALSE)</f>
        <v>7</v>
      </c>
      <c r="E63" s="4" t="s">
        <v>486</v>
      </c>
      <c r="F63" s="5">
        <v>14</v>
      </c>
      <c r="G63" s="5" t="str">
        <f t="shared" si="0"/>
        <v/>
      </c>
      <c r="H63" s="9"/>
      <c r="I63" s="9"/>
      <c r="J63" s="4" t="str">
        <f t="shared" si="1"/>
        <v/>
      </c>
      <c r="K63" s="4" t="s">
        <v>118</v>
      </c>
      <c r="L63" s="6" t="s">
        <v>689</v>
      </c>
      <c r="M63" s="6" t="str">
        <f t="shared" si="2"/>
        <v>'JDG-14' =&gt; array('N'=&gt;'', 'C'=&gt;"Samson Slays a Lion", 'F'=&gt;'Hebrew-OT-062-Samson-Slays-a-Lion'),</v>
      </c>
    </row>
    <row r="64" spans="1:13" x14ac:dyDescent="0.25">
      <c r="A64" s="7">
        <v>7</v>
      </c>
      <c r="B64" s="4" t="s">
        <v>119</v>
      </c>
      <c r="C64" s="12">
        <v>15</v>
      </c>
      <c r="D64" s="5">
        <f>VLOOKUP(E64,Sheet2!A:C,2,FALSE)</f>
        <v>7</v>
      </c>
      <c r="E64" s="4" t="s">
        <v>486</v>
      </c>
      <c r="F64" s="5">
        <v>15</v>
      </c>
      <c r="G64" s="5" t="str">
        <f t="shared" si="0"/>
        <v/>
      </c>
      <c r="H64" s="9"/>
      <c r="I64" s="9"/>
      <c r="J64" s="4" t="str">
        <f t="shared" si="1"/>
        <v/>
      </c>
      <c r="K64" s="4" t="s">
        <v>120</v>
      </c>
      <c r="L64" s="6" t="s">
        <v>690</v>
      </c>
      <c r="M64" s="6" t="str">
        <f t="shared" si="2"/>
        <v>'JDG-15' =&gt; array('N'=&gt;'', 'C'=&gt;"Samson Destroys the Philistines with an Ass' Jawbone", 'F'=&gt;'Hebrew-OT-063-Samson-Destroys-the-Philistines-with-an-Ass-Jawbone'),</v>
      </c>
    </row>
    <row r="65" spans="1:13" x14ac:dyDescent="0.25">
      <c r="A65" s="7">
        <v>7</v>
      </c>
      <c r="B65" s="4" t="s">
        <v>121</v>
      </c>
      <c r="C65" s="12">
        <v>16.100000000000001</v>
      </c>
      <c r="D65" s="5">
        <f>VLOOKUP(E65,Sheet2!A:C,2,FALSE)</f>
        <v>7</v>
      </c>
      <c r="E65" s="4" t="s">
        <v>486</v>
      </c>
      <c r="F65" s="5">
        <v>16</v>
      </c>
      <c r="G65" s="5" t="str">
        <f t="shared" si="0"/>
        <v/>
      </c>
      <c r="H65" s="9"/>
      <c r="I65" s="9">
        <v>3</v>
      </c>
      <c r="J65" s="4" t="str">
        <f t="shared" si="1"/>
        <v/>
      </c>
      <c r="K65" s="4" t="s">
        <v>122</v>
      </c>
      <c r="L65" s="6" t="s">
        <v>691</v>
      </c>
      <c r="M65" s="6" t="str">
        <f t="shared" si="2"/>
        <v>'JDG-16' =&gt; array('N'=&gt;'3', 'C'=&gt;"Samson Carries away the Gates of Gaza", 'F'=&gt;'Hebrew-OT-064-Samson-Carries-away-the-Gates-of-Gaza'),</v>
      </c>
    </row>
    <row r="66" spans="1:13" x14ac:dyDescent="0.25">
      <c r="A66" s="7">
        <v>7</v>
      </c>
      <c r="B66" s="4" t="s">
        <v>123</v>
      </c>
      <c r="C66" s="12">
        <v>16.2</v>
      </c>
      <c r="D66" s="5">
        <f>VLOOKUP(E66,Sheet2!A:C,2,FALSE)</f>
        <v>7</v>
      </c>
      <c r="E66" s="4" t="s">
        <v>486</v>
      </c>
      <c r="F66" s="5">
        <v>16</v>
      </c>
      <c r="G66" s="5" t="str">
        <f t="shared" si="0"/>
        <v>MULT</v>
      </c>
      <c r="H66" s="9">
        <v>2</v>
      </c>
      <c r="I66" s="9"/>
      <c r="J66" s="4" t="str">
        <f t="shared" si="1"/>
        <v/>
      </c>
      <c r="K66" s="4" t="s">
        <v>124</v>
      </c>
      <c r="L66" s="6" t="s">
        <v>692</v>
      </c>
      <c r="M66" s="6" t="str">
        <f t="shared" si="2"/>
        <v>'JDG-16-2' =&gt; array('N'=&gt;'', 'C'=&gt;"Samson and Delilah", 'F'=&gt;'Hebrew-OT-065-Samson-and-Delilah'),</v>
      </c>
    </row>
    <row r="67" spans="1:13" x14ac:dyDescent="0.25">
      <c r="A67" s="7">
        <v>7</v>
      </c>
      <c r="B67" s="4" t="s">
        <v>125</v>
      </c>
      <c r="C67" s="12">
        <v>16.3</v>
      </c>
      <c r="D67" s="5">
        <f>VLOOKUP(E67,Sheet2!A:C,2,FALSE)</f>
        <v>7</v>
      </c>
      <c r="E67" s="4" t="s">
        <v>486</v>
      </c>
      <c r="F67" s="5">
        <v>16</v>
      </c>
      <c r="G67" s="5" t="str">
        <f t="shared" ref="G67:G130" si="3">IF(E67&lt;&gt;E66,"",IF(F67&lt;&gt;F66,"","MULT"))</f>
        <v>MULT</v>
      </c>
      <c r="H67" s="9">
        <v>3</v>
      </c>
      <c r="I67" s="9"/>
      <c r="J67" s="4" t="str">
        <f t="shared" ref="J67:J130" si="4">IF(A67&lt;&gt;D67,"YES",IF(INT(C67)&lt;&gt;F67,"YES",""))</f>
        <v/>
      </c>
      <c r="K67" s="4" t="s">
        <v>126</v>
      </c>
      <c r="L67" s="6" t="s">
        <v>693</v>
      </c>
      <c r="M67" s="6" t="str">
        <f t="shared" ref="M67:M130" si="5">"'"&amp;E67&amp;"-"&amp;F67&amp;IF(H67="","","-")&amp;H67&amp;"' =&gt; array('N'=&gt;'"&amp;I67&amp;"', 'C'=&gt;"""&amp;K67&amp;""", 'F'=&gt;'"&amp;L67&amp;"'),"</f>
        <v>'JDG-16-3' =&gt; array('N'=&gt;'', 'C'=&gt;"The Death of Samson", 'F'=&gt;'Hebrew-OT-066-The-Death-of-Samson'),</v>
      </c>
    </row>
    <row r="68" spans="1:13" x14ac:dyDescent="0.25">
      <c r="A68" s="7">
        <v>7</v>
      </c>
      <c r="B68" s="4" t="s">
        <v>127</v>
      </c>
      <c r="C68" s="12">
        <v>19.100000000000001</v>
      </c>
      <c r="D68" s="5">
        <f>VLOOKUP(E68,Sheet2!A:C,2,FALSE)</f>
        <v>7</v>
      </c>
      <c r="E68" s="4" t="s">
        <v>486</v>
      </c>
      <c r="F68" s="5">
        <v>19</v>
      </c>
      <c r="G68" s="5" t="str">
        <f t="shared" si="3"/>
        <v/>
      </c>
      <c r="H68" s="9"/>
      <c r="I68" s="9">
        <v>2</v>
      </c>
      <c r="J68" s="4" t="str">
        <f t="shared" si="4"/>
        <v/>
      </c>
      <c r="K68" s="4" t="s">
        <v>128</v>
      </c>
      <c r="L68" s="6" t="s">
        <v>694</v>
      </c>
      <c r="M68" s="6" t="str">
        <f t="shared" si="5"/>
        <v>'JDG-19' =&gt; array('N'=&gt;'2', 'C'=&gt;"A Levite Finds a Woman's Corpse", 'F'=&gt;'Hebrew-OT-067-A-Levite-Finds-a-Womans-Corpse'),</v>
      </c>
    </row>
    <row r="69" spans="1:13" x14ac:dyDescent="0.25">
      <c r="A69" s="7">
        <v>7</v>
      </c>
      <c r="B69" s="4" t="s">
        <v>129</v>
      </c>
      <c r="C69" s="12">
        <v>19.2</v>
      </c>
      <c r="D69" s="5">
        <f>VLOOKUP(E69,Sheet2!A:C,2,FALSE)</f>
        <v>7</v>
      </c>
      <c r="E69" s="4" t="s">
        <v>486</v>
      </c>
      <c r="F69" s="5">
        <v>19</v>
      </c>
      <c r="G69" s="5" t="str">
        <f t="shared" si="3"/>
        <v>MULT</v>
      </c>
      <c r="H69" s="9">
        <v>2</v>
      </c>
      <c r="I69" s="9"/>
      <c r="J69" s="4" t="str">
        <f t="shared" si="4"/>
        <v/>
      </c>
      <c r="K69" s="4" t="s">
        <v>130</v>
      </c>
      <c r="L69" s="6" t="s">
        <v>695</v>
      </c>
      <c r="M69" s="6" t="str">
        <f t="shared" si="5"/>
        <v>'JDG-19-2' =&gt; array('N'=&gt;'', 'C'=&gt;"The Levite Carries the Woman's Body Away", 'F'=&gt;'Hebrew-OT-068-The-Levite-Carries-the-Womans-Body-Away'),</v>
      </c>
    </row>
    <row r="70" spans="1:13" x14ac:dyDescent="0.25">
      <c r="A70" s="7">
        <v>7</v>
      </c>
      <c r="B70" s="4" t="s">
        <v>131</v>
      </c>
      <c r="C70" s="12">
        <v>21</v>
      </c>
      <c r="D70" s="5">
        <f>VLOOKUP(E70,Sheet2!A:C,2,FALSE)</f>
        <v>7</v>
      </c>
      <c r="E70" s="4" t="s">
        <v>486</v>
      </c>
      <c r="F70" s="5">
        <v>21</v>
      </c>
      <c r="G70" s="5" t="str">
        <f t="shared" si="3"/>
        <v/>
      </c>
      <c r="H70" s="9"/>
      <c r="I70" s="9"/>
      <c r="J70" s="4" t="str">
        <f t="shared" si="4"/>
        <v/>
      </c>
      <c r="K70" s="4" t="s">
        <v>132</v>
      </c>
      <c r="L70" s="6" t="s">
        <v>696</v>
      </c>
      <c r="M70" s="6" t="str">
        <f t="shared" si="5"/>
        <v>'JDG-21' =&gt; array('N'=&gt;'', 'C'=&gt;"The Benjaminites Take the Virgins of Jabesh-gilead", 'F'=&gt;'Hebrew-OT-069-The-Benjaminites-Take-the-Virgins-of-Jabesh-gilead'),</v>
      </c>
    </row>
    <row r="71" spans="1:13" x14ac:dyDescent="0.25">
      <c r="A71" s="7">
        <v>8</v>
      </c>
      <c r="B71" s="4" t="s">
        <v>133</v>
      </c>
      <c r="C71" s="12">
        <v>1</v>
      </c>
      <c r="D71" s="5">
        <f>VLOOKUP(E71,Sheet2!A:C,2,FALSE)</f>
        <v>8</v>
      </c>
      <c r="E71" s="4" t="s">
        <v>494</v>
      </c>
      <c r="F71" s="5">
        <v>1</v>
      </c>
      <c r="G71" s="5" t="str">
        <f t="shared" si="3"/>
        <v/>
      </c>
      <c r="H71" s="9"/>
      <c r="I71" s="9"/>
      <c r="J71" s="4" t="str">
        <f t="shared" si="4"/>
        <v/>
      </c>
      <c r="K71" s="4" t="s">
        <v>134</v>
      </c>
      <c r="L71" s="6" t="s">
        <v>697</v>
      </c>
      <c r="M71" s="6" t="str">
        <f t="shared" si="5"/>
        <v>'RUT-1' =&gt; array('N'=&gt;'', 'C'=&gt;"Naomi and Her Daughters-in-Law", 'F'=&gt;'Hebrew-OT-070-Naomi-and-Her-Daughters-in-Law'),</v>
      </c>
    </row>
    <row r="72" spans="1:13" x14ac:dyDescent="0.25">
      <c r="A72" s="7">
        <v>8</v>
      </c>
      <c r="B72" s="4" t="s">
        <v>135</v>
      </c>
      <c r="C72" s="12">
        <v>2</v>
      </c>
      <c r="D72" s="5">
        <f>VLOOKUP(E72,Sheet2!A:C,2,FALSE)</f>
        <v>8</v>
      </c>
      <c r="E72" s="4" t="s">
        <v>494</v>
      </c>
      <c r="F72" s="5">
        <v>2</v>
      </c>
      <c r="G72" s="5" t="str">
        <f t="shared" si="3"/>
        <v/>
      </c>
      <c r="H72" s="9"/>
      <c r="I72" s="9"/>
      <c r="J72" s="4" t="str">
        <f t="shared" si="4"/>
        <v/>
      </c>
      <c r="K72" s="4" t="s">
        <v>136</v>
      </c>
      <c r="L72" s="6" t="s">
        <v>698</v>
      </c>
      <c r="M72" s="6" t="str">
        <f t="shared" si="5"/>
        <v>'RUT-2' =&gt; array('N'=&gt;'', 'C'=&gt;"Ruth and Boaz", 'F'=&gt;'Hebrew-OT-071-Ruth-and-Boaz'),</v>
      </c>
    </row>
    <row r="73" spans="1:13" x14ac:dyDescent="0.25">
      <c r="A73" s="7">
        <v>9</v>
      </c>
      <c r="B73" s="4" t="s">
        <v>137</v>
      </c>
      <c r="C73" s="12">
        <v>6</v>
      </c>
      <c r="D73" s="5">
        <f>VLOOKUP(E73,Sheet2!A:C,2,FALSE)</f>
        <v>9</v>
      </c>
      <c r="E73" s="4" t="s">
        <v>467</v>
      </c>
      <c r="F73" s="5">
        <v>6</v>
      </c>
      <c r="G73" s="5" t="str">
        <f t="shared" si="3"/>
        <v/>
      </c>
      <c r="H73" s="9"/>
      <c r="I73" s="9"/>
      <c r="J73" s="4" t="str">
        <f t="shared" si="4"/>
        <v/>
      </c>
      <c r="K73" s="4" t="s">
        <v>435</v>
      </c>
      <c r="L73" s="6" t="s">
        <v>699</v>
      </c>
      <c r="M73" s="6" t="str">
        <f t="shared" si="5"/>
        <v>'1SA-6' =&gt; array('N'=&gt;'', 'C'=&gt;"The Ark is Returned to Beth-shemesh", 'F'=&gt;'Hebrew-OT-072-The-Ark-is-Returned-to-Beth-shemesh'),</v>
      </c>
    </row>
    <row r="74" spans="1:13" x14ac:dyDescent="0.25">
      <c r="A74" s="7">
        <v>9</v>
      </c>
      <c r="B74" s="4" t="s">
        <v>138</v>
      </c>
      <c r="C74" s="12">
        <v>9</v>
      </c>
      <c r="D74" s="5">
        <f>VLOOKUP(E74,Sheet2!A:C,2,FALSE)</f>
        <v>9</v>
      </c>
      <c r="E74" s="4" t="s">
        <v>467</v>
      </c>
      <c r="F74" s="5">
        <v>9</v>
      </c>
      <c r="G74" s="5" t="str">
        <f t="shared" si="3"/>
        <v/>
      </c>
      <c r="H74" s="9"/>
      <c r="I74" s="9"/>
      <c r="J74" s="4" t="str">
        <f t="shared" si="4"/>
        <v/>
      </c>
      <c r="K74" s="4" t="s">
        <v>139</v>
      </c>
      <c r="L74" s="6" t="s">
        <v>700</v>
      </c>
      <c r="M74" s="6" t="str">
        <f t="shared" si="5"/>
        <v>'1SA-9' =&gt; array('N'=&gt;'', 'C'=&gt;"Samuel Blesses Saul", 'F'=&gt;'Hebrew-OT-073-Samuel-Blesses-Saul'),</v>
      </c>
    </row>
    <row r="75" spans="1:13" x14ac:dyDescent="0.25">
      <c r="A75" s="7">
        <v>9</v>
      </c>
      <c r="B75" s="4" t="s">
        <v>140</v>
      </c>
      <c r="C75" s="12">
        <v>15</v>
      </c>
      <c r="D75" s="5">
        <f>VLOOKUP(E75,Sheet2!A:C,2,FALSE)</f>
        <v>9</v>
      </c>
      <c r="E75" s="4" t="s">
        <v>467</v>
      </c>
      <c r="F75" s="5">
        <v>15</v>
      </c>
      <c r="G75" s="5" t="str">
        <f t="shared" si="3"/>
        <v/>
      </c>
      <c r="H75" s="9"/>
      <c r="I75" s="9"/>
      <c r="J75" s="4" t="str">
        <f t="shared" si="4"/>
        <v/>
      </c>
      <c r="K75" s="4" t="s">
        <v>141</v>
      </c>
      <c r="L75" s="6" t="s">
        <v>701</v>
      </c>
      <c r="M75" s="6" t="str">
        <f t="shared" si="5"/>
        <v>'1SA-15' =&gt; array('N'=&gt;'', 'C'=&gt;"The Death of Agag", 'F'=&gt;'Hebrew-OT-074-The-Death-of-Agag'),</v>
      </c>
    </row>
    <row r="76" spans="1:13" x14ac:dyDescent="0.25">
      <c r="A76" s="7">
        <v>9</v>
      </c>
      <c r="B76" s="4" t="s">
        <v>142</v>
      </c>
      <c r="C76" s="12">
        <v>17</v>
      </c>
      <c r="D76" s="5">
        <f>VLOOKUP(E76,Sheet2!A:C,2,FALSE)</f>
        <v>9</v>
      </c>
      <c r="E76" s="4" t="s">
        <v>467</v>
      </c>
      <c r="F76" s="5">
        <v>17</v>
      </c>
      <c r="G76" s="5" t="str">
        <f t="shared" si="3"/>
        <v/>
      </c>
      <c r="H76" s="9"/>
      <c r="I76" s="9"/>
      <c r="J76" s="4" t="str">
        <f t="shared" si="4"/>
        <v/>
      </c>
      <c r="K76" s="4" t="s">
        <v>143</v>
      </c>
      <c r="L76" s="6" t="s">
        <v>702</v>
      </c>
      <c r="M76" s="6" t="str">
        <f t="shared" si="5"/>
        <v>'1SA-17' =&gt; array('N'=&gt;'', 'C'=&gt;"David Slays Goliath", 'F'=&gt;'Hebrew-OT-075-David-Slays-Goliath'),</v>
      </c>
    </row>
    <row r="77" spans="1:13" x14ac:dyDescent="0.25">
      <c r="A77" s="7">
        <v>9</v>
      </c>
      <c r="B77" s="4" t="s">
        <v>144</v>
      </c>
      <c r="C77" s="12">
        <v>18</v>
      </c>
      <c r="D77" s="5">
        <f>VLOOKUP(E77,Sheet2!A:C,2,FALSE)</f>
        <v>9</v>
      </c>
      <c r="E77" s="4" t="s">
        <v>467</v>
      </c>
      <c r="F77" s="5">
        <v>18</v>
      </c>
      <c r="G77" s="5" t="str">
        <f t="shared" si="3"/>
        <v/>
      </c>
      <c r="H77" s="9"/>
      <c r="I77" s="9"/>
      <c r="J77" s="4" t="str">
        <f t="shared" si="4"/>
        <v/>
      </c>
      <c r="K77" s="4" t="s">
        <v>145</v>
      </c>
      <c r="L77" s="6" t="s">
        <v>703</v>
      </c>
      <c r="M77" s="6" t="str">
        <f t="shared" si="5"/>
        <v>'1SA-18' =&gt; array('N'=&gt;'', 'C'=&gt;"Saul Attempts to Kill David", 'F'=&gt;'Hebrew-OT-076-Saul-Attempts-to-Kill-David'),</v>
      </c>
    </row>
    <row r="78" spans="1:13" x14ac:dyDescent="0.25">
      <c r="A78" s="7">
        <v>9</v>
      </c>
      <c r="B78" s="4" t="s">
        <v>146</v>
      </c>
      <c r="C78" s="12">
        <v>19</v>
      </c>
      <c r="D78" s="5">
        <f>VLOOKUP(E78,Sheet2!A:C,2,FALSE)</f>
        <v>9</v>
      </c>
      <c r="E78" s="4" t="s">
        <v>467</v>
      </c>
      <c r="F78" s="5">
        <v>19</v>
      </c>
      <c r="G78" s="5" t="str">
        <f t="shared" si="3"/>
        <v/>
      </c>
      <c r="H78" s="9"/>
      <c r="I78" s="9"/>
      <c r="J78" s="4" t="str">
        <f t="shared" si="4"/>
        <v/>
      </c>
      <c r="K78" s="4" t="s">
        <v>147</v>
      </c>
      <c r="L78" s="6" t="s">
        <v>704</v>
      </c>
      <c r="M78" s="6" t="str">
        <f t="shared" si="5"/>
        <v>'1SA-19' =&gt; array('N'=&gt;'', 'C'=&gt;"David Escapes through a Window", 'F'=&gt;'Hebrew-OT-077-David-Escapes-through-a-Window'),</v>
      </c>
    </row>
    <row r="79" spans="1:13" x14ac:dyDescent="0.25">
      <c r="A79" s="7">
        <v>9</v>
      </c>
      <c r="B79" s="4" t="s">
        <v>148</v>
      </c>
      <c r="C79" s="12">
        <v>20</v>
      </c>
      <c r="D79" s="5">
        <f>VLOOKUP(E79,Sheet2!A:C,2,FALSE)</f>
        <v>9</v>
      </c>
      <c r="E79" s="4" t="s">
        <v>467</v>
      </c>
      <c r="F79" s="5">
        <v>20</v>
      </c>
      <c r="G79" s="5" t="str">
        <f t="shared" si="3"/>
        <v/>
      </c>
      <c r="H79" s="9"/>
      <c r="I79" s="9"/>
      <c r="J79" s="4" t="str">
        <f t="shared" si="4"/>
        <v/>
      </c>
      <c r="K79" s="4" t="s">
        <v>149</v>
      </c>
      <c r="L79" s="6" t="s">
        <v>705</v>
      </c>
      <c r="M79" s="6" t="str">
        <f t="shared" si="5"/>
        <v>'1SA-20' =&gt; array('N'=&gt;'', 'C'=&gt;"David and Jonathan", 'F'=&gt;'Hebrew-OT-078-David-and-Jonathan'),</v>
      </c>
    </row>
    <row r="80" spans="1:13" x14ac:dyDescent="0.25">
      <c r="A80" s="7">
        <v>9</v>
      </c>
      <c r="B80" s="4" t="s">
        <v>150</v>
      </c>
      <c r="C80" s="12">
        <v>24</v>
      </c>
      <c r="D80" s="5">
        <f>VLOOKUP(E80,Sheet2!A:C,2,FALSE)</f>
        <v>9</v>
      </c>
      <c r="E80" s="4" t="s">
        <v>467</v>
      </c>
      <c r="F80" s="5">
        <v>24</v>
      </c>
      <c r="G80" s="5" t="str">
        <f t="shared" si="3"/>
        <v/>
      </c>
      <c r="H80" s="9"/>
      <c r="I80" s="9"/>
      <c r="J80" s="4" t="str">
        <f t="shared" si="4"/>
        <v/>
      </c>
      <c r="K80" s="4" t="s">
        <v>151</v>
      </c>
      <c r="L80" s="6" t="s">
        <v>706</v>
      </c>
      <c r="M80" s="6" t="str">
        <f t="shared" si="5"/>
        <v>'1SA-24' =&gt; array('N'=&gt;'', 'C'=&gt;"David Shows Saul How He Spared His Life", 'F'=&gt;'Hebrew-OT-079-David-Shows-Saul-How-He-Spared-His-Life'),</v>
      </c>
    </row>
    <row r="81" spans="1:13" x14ac:dyDescent="0.25">
      <c r="A81" s="7">
        <v>9</v>
      </c>
      <c r="B81" s="4" t="s">
        <v>152</v>
      </c>
      <c r="C81" s="12">
        <v>28</v>
      </c>
      <c r="D81" s="5">
        <f>VLOOKUP(E81,Sheet2!A:C,2,FALSE)</f>
        <v>9</v>
      </c>
      <c r="E81" s="4" t="s">
        <v>467</v>
      </c>
      <c r="F81" s="5">
        <v>28</v>
      </c>
      <c r="G81" s="5" t="str">
        <f t="shared" si="3"/>
        <v/>
      </c>
      <c r="H81" s="9"/>
      <c r="I81" s="9"/>
      <c r="J81" s="4" t="str">
        <f t="shared" si="4"/>
        <v/>
      </c>
      <c r="K81" s="4" t="s">
        <v>153</v>
      </c>
      <c r="L81" s="6" t="s">
        <v>707</v>
      </c>
      <c r="M81" s="6" t="str">
        <f t="shared" si="5"/>
        <v>'1SA-28' =&gt; array('N'=&gt;'', 'C'=&gt;"Saul and the Witch of Endor", 'F'=&gt;'Hebrew-OT-080-Saul-and-the-Witch-of-Endor'),</v>
      </c>
    </row>
    <row r="82" spans="1:13" x14ac:dyDescent="0.25">
      <c r="A82" s="7">
        <v>9</v>
      </c>
      <c r="B82" s="4" t="s">
        <v>154</v>
      </c>
      <c r="C82" s="12">
        <v>31</v>
      </c>
      <c r="D82" s="5">
        <f>VLOOKUP(E82,Sheet2!A:C,2,FALSE)</f>
        <v>9</v>
      </c>
      <c r="E82" s="4" t="s">
        <v>467</v>
      </c>
      <c r="F82" s="5">
        <v>31</v>
      </c>
      <c r="G82" s="5" t="str">
        <f t="shared" si="3"/>
        <v/>
      </c>
      <c r="H82" s="9"/>
      <c r="I82" s="9"/>
      <c r="J82" s="4" t="str">
        <f t="shared" si="4"/>
        <v/>
      </c>
      <c r="K82" s="4" t="s">
        <v>155</v>
      </c>
      <c r="L82" s="6" t="s">
        <v>708</v>
      </c>
      <c r="M82" s="6" t="str">
        <f t="shared" si="5"/>
        <v>'1SA-31' =&gt; array('N'=&gt;'', 'C'=&gt;"The Death of Saul", 'F'=&gt;'Hebrew-OT-081-The-Death-of-Saul'),</v>
      </c>
    </row>
    <row r="83" spans="1:13" x14ac:dyDescent="0.25">
      <c r="A83" s="7">
        <v>10</v>
      </c>
      <c r="B83" s="4" t="s">
        <v>156</v>
      </c>
      <c r="C83" s="12">
        <v>2</v>
      </c>
      <c r="D83" s="5">
        <f>VLOOKUP(E83,Sheet2!A:C,2,FALSE)</f>
        <v>10</v>
      </c>
      <c r="E83" s="4" t="s">
        <v>470</v>
      </c>
      <c r="F83" s="5">
        <v>2</v>
      </c>
      <c r="G83" s="5" t="str">
        <f t="shared" si="3"/>
        <v/>
      </c>
      <c r="H83" s="9"/>
      <c r="I83" s="9"/>
      <c r="J83" s="4" t="str">
        <f t="shared" si="4"/>
        <v/>
      </c>
      <c r="K83" s="4" t="s">
        <v>157</v>
      </c>
      <c r="L83" s="6" t="s">
        <v>709</v>
      </c>
      <c r="M83" s="6" t="str">
        <f t="shared" si="5"/>
        <v>'2SA-2' =&gt; array('N'=&gt;'', 'C'=&gt;"Combat between Soldiers of Ish-bosheth and David", 'F'=&gt;'Hebrew-OT-083-Combat-between-Soldiers-of-Ish-bosheth-and-David'),</v>
      </c>
    </row>
    <row r="84" spans="1:13" x14ac:dyDescent="0.25">
      <c r="A84" s="7">
        <v>10</v>
      </c>
      <c r="B84" s="4" t="s">
        <v>158</v>
      </c>
      <c r="C84" s="12">
        <v>12</v>
      </c>
      <c r="D84" s="5">
        <f>VLOOKUP(E84,Sheet2!A:C,2,FALSE)</f>
        <v>10</v>
      </c>
      <c r="E84" s="4" t="s">
        <v>470</v>
      </c>
      <c r="F84" s="5">
        <v>12</v>
      </c>
      <c r="G84" s="5" t="str">
        <f t="shared" si="3"/>
        <v/>
      </c>
      <c r="H84" s="9"/>
      <c r="I84" s="9"/>
      <c r="J84" s="4" t="str">
        <f t="shared" si="4"/>
        <v/>
      </c>
      <c r="K84" s="4" t="s">
        <v>159</v>
      </c>
      <c r="L84" s="6" t="s">
        <v>710</v>
      </c>
      <c r="M84" s="6" t="str">
        <f t="shared" si="5"/>
        <v>'2SA-12' =&gt; array('N'=&gt;'', 'C'=&gt;"David Attacks the Ammonites", 'F'=&gt;'Hebrew-OT-084-David-Attacks-the-Ammonites'),</v>
      </c>
    </row>
    <row r="85" spans="1:13" x14ac:dyDescent="0.25">
      <c r="A85" s="7">
        <v>10</v>
      </c>
      <c r="B85" s="4" t="s">
        <v>160</v>
      </c>
      <c r="C85" s="12">
        <v>18.100000000000001</v>
      </c>
      <c r="D85" s="5">
        <f>VLOOKUP(E85,Sheet2!A:C,2,FALSE)</f>
        <v>10</v>
      </c>
      <c r="E85" s="4" t="s">
        <v>470</v>
      </c>
      <c r="F85" s="5">
        <v>18</v>
      </c>
      <c r="G85" s="5" t="str">
        <f t="shared" si="3"/>
        <v/>
      </c>
      <c r="H85" s="9"/>
      <c r="I85" s="9">
        <v>2</v>
      </c>
      <c r="J85" s="4" t="str">
        <f t="shared" si="4"/>
        <v/>
      </c>
      <c r="K85" s="4" t="s">
        <v>161</v>
      </c>
      <c r="L85" s="6" t="s">
        <v>711</v>
      </c>
      <c r="M85" s="6" t="str">
        <f t="shared" si="5"/>
        <v>'2SA-18' =&gt; array('N'=&gt;'2', 'C'=&gt;"The Death of Absalom", 'F'=&gt;'Hebrew-OT-085-The-Death-of-Absalom'),</v>
      </c>
    </row>
    <row r="86" spans="1:13" x14ac:dyDescent="0.25">
      <c r="A86" s="7">
        <v>10</v>
      </c>
      <c r="B86" s="4" t="s">
        <v>162</v>
      </c>
      <c r="C86" s="12">
        <v>18.2</v>
      </c>
      <c r="D86" s="5">
        <f>VLOOKUP(E86,Sheet2!A:C,2,FALSE)</f>
        <v>10</v>
      </c>
      <c r="E86" s="4" t="s">
        <v>470</v>
      </c>
      <c r="F86" s="5">
        <v>18</v>
      </c>
      <c r="G86" s="5" t="str">
        <f t="shared" si="3"/>
        <v>MULT</v>
      </c>
      <c r="H86" s="9">
        <v>2</v>
      </c>
      <c r="I86" s="9"/>
      <c r="J86" s="4" t="str">
        <f t="shared" si="4"/>
        <v/>
      </c>
      <c r="K86" s="4" t="s">
        <v>163</v>
      </c>
      <c r="L86" s="6" t="s">
        <v>712</v>
      </c>
      <c r="M86" s="6" t="str">
        <f t="shared" si="5"/>
        <v>'2SA-18-2' =&gt; array('N'=&gt;'', 'C'=&gt;"David Mourns the Death of Absalom", 'F'=&gt;'Hebrew-OT-086-David-Mourns-the-Death-of-Absalom'),</v>
      </c>
    </row>
    <row r="87" spans="1:13" x14ac:dyDescent="0.25">
      <c r="A87" s="7">
        <v>10</v>
      </c>
      <c r="B87" s="4" t="s">
        <v>164</v>
      </c>
      <c r="C87" s="12">
        <v>21.1</v>
      </c>
      <c r="D87" s="5">
        <f>VLOOKUP(E87,Sheet2!A:C,2,FALSE)</f>
        <v>10</v>
      </c>
      <c r="E87" s="4" t="s">
        <v>470</v>
      </c>
      <c r="F87" s="5">
        <v>21</v>
      </c>
      <c r="G87" s="5" t="str">
        <f t="shared" si="3"/>
        <v/>
      </c>
      <c r="H87" s="9"/>
      <c r="I87" s="9">
        <v>2</v>
      </c>
      <c r="J87" s="4" t="str">
        <f t="shared" si="4"/>
        <v/>
      </c>
      <c r="K87" s="4" t="s">
        <v>431</v>
      </c>
      <c r="L87" s="6" t="s">
        <v>713</v>
      </c>
      <c r="M87" s="6" t="str">
        <f t="shared" si="5"/>
        <v>'2SA-21' =&gt; array('N'=&gt;'2', 'C'=&gt;"Rizpah's Kindness toward the Dead", 'F'=&gt;'Hebrew-OT-087-Rizpahs-Kindness-toward-the-Dead'),</v>
      </c>
    </row>
    <row r="88" spans="1:13" x14ac:dyDescent="0.25">
      <c r="A88" s="7">
        <v>10</v>
      </c>
      <c r="B88" s="4" t="s">
        <v>165</v>
      </c>
      <c r="C88" s="12">
        <v>21.2</v>
      </c>
      <c r="D88" s="5">
        <f>VLOOKUP(E88,Sheet2!A:C,2,FALSE)</f>
        <v>10</v>
      </c>
      <c r="E88" s="4" t="s">
        <v>470</v>
      </c>
      <c r="F88" s="5">
        <v>21</v>
      </c>
      <c r="G88" s="5" t="str">
        <f t="shared" si="3"/>
        <v>MULT</v>
      </c>
      <c r="H88" s="9">
        <v>2</v>
      </c>
      <c r="I88" s="9"/>
      <c r="J88" s="4" t="str">
        <f t="shared" si="4"/>
        <v/>
      </c>
      <c r="K88" s="4" t="s">
        <v>166</v>
      </c>
      <c r="L88" s="6" t="s">
        <v>714</v>
      </c>
      <c r="M88" s="6" t="str">
        <f t="shared" si="5"/>
        <v>'2SA-21-2' =&gt; array('N'=&gt;'', 'C'=&gt;"Abishai Saves David's Life", 'F'=&gt;'Hebrew-OT-089-Abishai-Saves-Davids-Life'),</v>
      </c>
    </row>
    <row r="89" spans="1:13" x14ac:dyDescent="0.25">
      <c r="A89" s="7">
        <v>11</v>
      </c>
      <c r="B89" s="4" t="s">
        <v>167</v>
      </c>
      <c r="C89" s="12">
        <v>3</v>
      </c>
      <c r="D89" s="5">
        <f>VLOOKUP(E89,Sheet2!A:C,2,FALSE)</f>
        <v>11</v>
      </c>
      <c r="E89" s="4" t="s">
        <v>465</v>
      </c>
      <c r="F89" s="5">
        <v>3</v>
      </c>
      <c r="G89" s="5" t="str">
        <f t="shared" si="3"/>
        <v/>
      </c>
      <c r="H89" s="9"/>
      <c r="I89" s="9"/>
      <c r="J89" s="4" t="str">
        <f t="shared" si="4"/>
        <v/>
      </c>
      <c r="K89" s="4" t="s">
        <v>168</v>
      </c>
      <c r="L89" s="6" t="s">
        <v>715</v>
      </c>
      <c r="M89" s="6" t="str">
        <f t="shared" si="5"/>
        <v>'1KI-3' =&gt; array('N'=&gt;'', 'C'=&gt;"The Judgment of Solomon", 'F'=&gt;'Hebrew-OT-090-The-Judgment-of-Solomon'),</v>
      </c>
    </row>
    <row r="90" spans="1:13" x14ac:dyDescent="0.25">
      <c r="A90" s="7">
        <v>11</v>
      </c>
      <c r="B90" s="4" t="s">
        <v>169</v>
      </c>
      <c r="C90" s="12">
        <v>5</v>
      </c>
      <c r="D90" s="5">
        <f>VLOOKUP(E90,Sheet2!A:C,2,FALSE)</f>
        <v>11</v>
      </c>
      <c r="E90" s="4" t="s">
        <v>465</v>
      </c>
      <c r="F90" s="5">
        <v>5</v>
      </c>
      <c r="G90" s="5" t="str">
        <f t="shared" si="3"/>
        <v/>
      </c>
      <c r="H90" s="9"/>
      <c r="I90" s="9"/>
      <c r="J90" s="4" t="str">
        <f t="shared" si="4"/>
        <v/>
      </c>
      <c r="K90" s="4" t="s">
        <v>170</v>
      </c>
      <c r="L90" s="6" t="s">
        <v>716</v>
      </c>
      <c r="M90" s="6" t="str">
        <f t="shared" si="5"/>
        <v>'1KI-5' =&gt; array('N'=&gt;'', 'C'=&gt;"Cedars Are Cut Down for the Jerusalem Temple", 'F'=&gt;'Hebrew-OT-091-Cedars-Are-Cut-Down-for-the-Jerusalem-Temple'),</v>
      </c>
    </row>
    <row r="91" spans="1:13" x14ac:dyDescent="0.25">
      <c r="A91" s="7">
        <v>11</v>
      </c>
      <c r="B91" s="4" t="s">
        <v>171</v>
      </c>
      <c r="C91" s="12">
        <v>13</v>
      </c>
      <c r="D91" s="5">
        <f>VLOOKUP(E91,Sheet2!A:C,2,FALSE)</f>
        <v>11</v>
      </c>
      <c r="E91" s="4" t="s">
        <v>465</v>
      </c>
      <c r="F91" s="5">
        <v>13</v>
      </c>
      <c r="G91" s="5" t="str">
        <f t="shared" si="3"/>
        <v/>
      </c>
      <c r="H91" s="9"/>
      <c r="I91" s="9"/>
      <c r="J91" s="4" t="str">
        <f t="shared" si="4"/>
        <v/>
      </c>
      <c r="K91" s="4" t="s">
        <v>441</v>
      </c>
      <c r="L91" s="6" t="s">
        <v>717</v>
      </c>
      <c r="M91" s="6" t="str">
        <f t="shared" si="5"/>
        <v>'1KI-13' =&gt; array('N'=&gt;'', 'C'=&gt;"The Disobedient Prophet is Slain by a Lion", 'F'=&gt;'Hebrew-OT-094-The-Disobedient-Prophet-is-Slain-by-a-Lion'),</v>
      </c>
    </row>
    <row r="92" spans="1:13" x14ac:dyDescent="0.25">
      <c r="A92" s="7">
        <v>11</v>
      </c>
      <c r="B92" s="4" t="s">
        <v>172</v>
      </c>
      <c r="C92" s="12">
        <v>17</v>
      </c>
      <c r="D92" s="5">
        <f>VLOOKUP(E92,Sheet2!A:C,2,FALSE)</f>
        <v>11</v>
      </c>
      <c r="E92" s="4" t="s">
        <v>465</v>
      </c>
      <c r="F92" s="5">
        <v>17</v>
      </c>
      <c r="G92" s="5" t="str">
        <f t="shared" si="3"/>
        <v/>
      </c>
      <c r="H92" s="9"/>
      <c r="I92" s="9"/>
      <c r="J92" s="4" t="str">
        <f t="shared" si="4"/>
        <v/>
      </c>
      <c r="K92" s="4" t="s">
        <v>173</v>
      </c>
      <c r="L92" s="6" t="s">
        <v>718</v>
      </c>
      <c r="M92" s="6" t="str">
        <f t="shared" si="5"/>
        <v>'1KI-17' =&gt; array('N'=&gt;'', 'C'=&gt;"Elijah Raises the Son of the Widow of Zarephath", 'F'=&gt;'Hebrew-OT-095-Elijah-Raises-the-Son-of-the-Widow-of-Zarephath'),</v>
      </c>
    </row>
    <row r="93" spans="1:13" x14ac:dyDescent="0.25">
      <c r="A93" s="7">
        <v>11</v>
      </c>
      <c r="B93" s="4" t="s">
        <v>174</v>
      </c>
      <c r="C93" s="12">
        <v>18</v>
      </c>
      <c r="D93" s="5">
        <f>VLOOKUP(E93,Sheet2!A:C,2,FALSE)</f>
        <v>11</v>
      </c>
      <c r="E93" s="4" t="s">
        <v>465</v>
      </c>
      <c r="F93" s="5">
        <v>18</v>
      </c>
      <c r="G93" s="5" t="str">
        <f t="shared" si="3"/>
        <v/>
      </c>
      <c r="H93" s="9"/>
      <c r="I93" s="9"/>
      <c r="J93" s="4" t="str">
        <f t="shared" si="4"/>
        <v/>
      </c>
      <c r="K93" s="4" t="s">
        <v>175</v>
      </c>
      <c r="L93" s="6" t="s">
        <v>719</v>
      </c>
      <c r="M93" s="6" t="str">
        <f t="shared" si="5"/>
        <v>'1KI-18' =&gt; array('N'=&gt;'', 'C'=&gt;"The Prophets of Baal Are Slaughtered", 'F'=&gt;'Hebrew-OT-096-The-Prophets-of-Baal-Are-Slaughtered'),</v>
      </c>
    </row>
    <row r="94" spans="1:13" x14ac:dyDescent="0.25">
      <c r="A94" s="7">
        <v>11</v>
      </c>
      <c r="B94" s="4" t="s">
        <v>176</v>
      </c>
      <c r="C94" s="12">
        <v>19</v>
      </c>
      <c r="D94" s="5">
        <f>VLOOKUP(E94,Sheet2!A:C,2,FALSE)</f>
        <v>11</v>
      </c>
      <c r="E94" s="4" t="s">
        <v>465</v>
      </c>
      <c r="F94" s="5">
        <v>19</v>
      </c>
      <c r="G94" s="5" t="str">
        <f t="shared" si="3"/>
        <v/>
      </c>
      <c r="H94" s="9"/>
      <c r="I94" s="9"/>
      <c r="J94" s="4" t="str">
        <f t="shared" si="4"/>
        <v/>
      </c>
      <c r="K94" s="4" t="s">
        <v>442</v>
      </c>
      <c r="L94" s="6" t="s">
        <v>720</v>
      </c>
      <c r="M94" s="6" t="str">
        <f t="shared" si="5"/>
        <v>'1KI-19' =&gt; array('N'=&gt;'', 'C'=&gt;"Elijah is Nourished by an Angel", 'F'=&gt;'Hebrew-OT-097-Elijah-is-Nourished-by-an-Angel'),</v>
      </c>
    </row>
    <row r="95" spans="1:13" x14ac:dyDescent="0.25">
      <c r="A95" s="7">
        <v>11</v>
      </c>
      <c r="B95" s="4" t="s">
        <v>177</v>
      </c>
      <c r="C95" s="12">
        <v>20</v>
      </c>
      <c r="D95" s="5">
        <f>VLOOKUP(E95,Sheet2!A:C,2,FALSE)</f>
        <v>11</v>
      </c>
      <c r="E95" s="4" t="s">
        <v>465</v>
      </c>
      <c r="F95" s="5">
        <v>20</v>
      </c>
      <c r="G95" s="5" t="str">
        <f t="shared" si="3"/>
        <v/>
      </c>
      <c r="H95" s="9"/>
      <c r="I95" s="9"/>
      <c r="J95" s="4" t="str">
        <f t="shared" si="4"/>
        <v/>
      </c>
      <c r="K95" s="4" t="s">
        <v>178</v>
      </c>
      <c r="L95" s="6" t="s">
        <v>721</v>
      </c>
      <c r="M95" s="6" t="str">
        <f t="shared" si="5"/>
        <v>'1KI-20' =&gt; array('N'=&gt;'', 'C'=&gt;"The Israelites Slaughter the Syrians", 'F'=&gt;'Hebrew-OT-098-The-Israelites-Slaughter-the-Syrians'),</v>
      </c>
    </row>
    <row r="96" spans="1:13" x14ac:dyDescent="0.25">
      <c r="A96" s="7">
        <v>11</v>
      </c>
      <c r="B96" s="4" t="s">
        <v>179</v>
      </c>
      <c r="C96" s="12">
        <v>22</v>
      </c>
      <c r="D96" s="5">
        <f>VLOOKUP(E96,Sheet2!A:C,2,FALSE)</f>
        <v>11</v>
      </c>
      <c r="E96" s="4" t="s">
        <v>465</v>
      </c>
      <c r="F96" s="5">
        <v>22</v>
      </c>
      <c r="G96" s="5" t="str">
        <f t="shared" si="3"/>
        <v/>
      </c>
      <c r="H96" s="9"/>
      <c r="I96" s="9"/>
      <c r="J96" s="4" t="str">
        <f t="shared" si="4"/>
        <v/>
      </c>
      <c r="K96" s="4" t="s">
        <v>180</v>
      </c>
      <c r="L96" s="6" t="s">
        <v>722</v>
      </c>
      <c r="M96" s="6" t="str">
        <f t="shared" si="5"/>
        <v>'1KI-22' =&gt; array('N'=&gt;'', 'C'=&gt;"The Death of Ahab", 'F'=&gt;'Hebrew-OT-100-The-Death-of-Ahab'),</v>
      </c>
    </row>
    <row r="97" spans="1:13" x14ac:dyDescent="0.25">
      <c r="A97" s="7">
        <v>12</v>
      </c>
      <c r="B97" s="4" t="s">
        <v>181</v>
      </c>
      <c r="C97" s="12">
        <v>1</v>
      </c>
      <c r="D97" s="5">
        <f>VLOOKUP(E97,Sheet2!A:C,2,FALSE)</f>
        <v>12</v>
      </c>
      <c r="E97" s="4" t="s">
        <v>469</v>
      </c>
      <c r="F97" s="5">
        <v>1</v>
      </c>
      <c r="G97" s="5" t="str">
        <f t="shared" si="3"/>
        <v/>
      </c>
      <c r="H97" s="9"/>
      <c r="I97" s="9"/>
      <c r="J97" s="4" t="str">
        <f t="shared" si="4"/>
        <v/>
      </c>
      <c r="K97" s="4" t="s">
        <v>182</v>
      </c>
      <c r="L97" s="6" t="s">
        <v>723</v>
      </c>
      <c r="M97" s="6" t="str">
        <f t="shared" si="5"/>
        <v>'2KI-1' =&gt; array('N'=&gt;'', 'C'=&gt;"Elijah Destroys the Messengers of Ahaziah", 'F'=&gt;'Hebrew-OT-101-Elijah-Destroys-the-Messengers-of-Ahaziah'),</v>
      </c>
    </row>
    <row r="98" spans="1:13" x14ac:dyDescent="0.25">
      <c r="A98" s="7">
        <v>12</v>
      </c>
      <c r="B98" s="4" t="s">
        <v>183</v>
      </c>
      <c r="C98" s="12">
        <v>2.1</v>
      </c>
      <c r="D98" s="5">
        <f>VLOOKUP(E98,Sheet2!A:C,2,FALSE)</f>
        <v>12</v>
      </c>
      <c r="E98" s="4" t="s">
        <v>469</v>
      </c>
      <c r="F98" s="5">
        <v>2</v>
      </c>
      <c r="G98" s="5" t="str">
        <f t="shared" si="3"/>
        <v/>
      </c>
      <c r="H98" s="9"/>
      <c r="I98" s="9">
        <v>2</v>
      </c>
      <c r="J98" s="4" t="str">
        <f t="shared" si="4"/>
        <v/>
      </c>
      <c r="K98" s="4" t="s">
        <v>184</v>
      </c>
      <c r="L98" s="6" t="s">
        <v>724</v>
      </c>
      <c r="M98" s="6" t="str">
        <f t="shared" si="5"/>
        <v>'2KI-2' =&gt; array('N'=&gt;'2', 'C'=&gt;"Elijah Ascends to Heaven in a Chariot of Fire", 'F'=&gt;'Hebrew-OT-102-Elijah-Ascends-to-Heaven-in-a-Chariot-of-Fire'),</v>
      </c>
    </row>
    <row r="99" spans="1:13" x14ac:dyDescent="0.25">
      <c r="A99" s="7">
        <v>12</v>
      </c>
      <c r="B99" s="4" t="s">
        <v>185</v>
      </c>
      <c r="C99" s="12">
        <v>2.2000000000000002</v>
      </c>
      <c r="D99" s="5">
        <f>VLOOKUP(E99,Sheet2!A:C,2,FALSE)</f>
        <v>12</v>
      </c>
      <c r="E99" s="4" t="s">
        <v>469</v>
      </c>
      <c r="F99" s="5">
        <v>2</v>
      </c>
      <c r="G99" s="5" t="str">
        <f t="shared" si="3"/>
        <v>MULT</v>
      </c>
      <c r="H99" s="9">
        <v>2</v>
      </c>
      <c r="I99" s="9"/>
      <c r="J99" s="4" t="str">
        <f t="shared" si="4"/>
        <v/>
      </c>
      <c r="K99" s="4" t="s">
        <v>186</v>
      </c>
      <c r="L99" s="6" t="s">
        <v>725</v>
      </c>
      <c r="M99" s="6" t="str">
        <f t="shared" si="5"/>
        <v>'2KI-2-2' =&gt; array('N'=&gt;'', 'C'=&gt;"Some Children Are Destroyed by Bears", 'F'=&gt;'Hebrew-OT-103-Some-Children-Are-Destroyed-by-Bears'),</v>
      </c>
    </row>
    <row r="100" spans="1:13" x14ac:dyDescent="0.25">
      <c r="A100" s="7">
        <v>12</v>
      </c>
      <c r="B100" s="4" t="s">
        <v>187</v>
      </c>
      <c r="C100" s="12">
        <v>6</v>
      </c>
      <c r="D100" s="5">
        <f>VLOOKUP(E100,Sheet2!A:C,2,FALSE)</f>
        <v>12</v>
      </c>
      <c r="E100" s="4" t="s">
        <v>469</v>
      </c>
      <c r="F100" s="5">
        <v>6</v>
      </c>
      <c r="G100" s="5" t="str">
        <f t="shared" si="3"/>
        <v/>
      </c>
      <c r="H100" s="9"/>
      <c r="I100" s="9"/>
      <c r="J100" s="4" t="str">
        <f t="shared" si="4"/>
        <v/>
      </c>
      <c r="K100" s="4" t="s">
        <v>188</v>
      </c>
      <c r="L100" s="6" t="s">
        <v>726</v>
      </c>
      <c r="M100" s="6" t="str">
        <f t="shared" si="5"/>
        <v>'2KI-6' =&gt; array('N'=&gt;'', 'C'=&gt;"A Famine in Samaria", 'F'=&gt;'Hebrew-OT-104-A-Famine-in-Samaria'),</v>
      </c>
    </row>
    <row r="101" spans="1:13" x14ac:dyDescent="0.25">
      <c r="A101" s="7">
        <v>12</v>
      </c>
      <c r="B101" s="4" t="s">
        <v>189</v>
      </c>
      <c r="C101" s="12">
        <v>9.1</v>
      </c>
      <c r="D101" s="5">
        <f>VLOOKUP(E101,Sheet2!A:C,2,FALSE)</f>
        <v>12</v>
      </c>
      <c r="E101" s="4" t="s">
        <v>469</v>
      </c>
      <c r="F101" s="5">
        <v>9</v>
      </c>
      <c r="G101" s="5" t="str">
        <f t="shared" si="3"/>
        <v/>
      </c>
      <c r="H101" s="9"/>
      <c r="I101" s="9">
        <v>2</v>
      </c>
      <c r="J101" s="4" t="str">
        <f t="shared" si="4"/>
        <v/>
      </c>
      <c r="K101" s="4" t="s">
        <v>190</v>
      </c>
      <c r="L101" s="6" t="s">
        <v>727</v>
      </c>
      <c r="M101" s="6" t="str">
        <f t="shared" si="5"/>
        <v>'2KI-9' =&gt; array('N'=&gt;'2', 'C'=&gt;"The Death of Jezebel", 'F'=&gt;'Hebrew-OT-105-The-Death-of-Jezebel'),</v>
      </c>
    </row>
    <row r="102" spans="1:13" x14ac:dyDescent="0.25">
      <c r="A102" s="7">
        <v>12</v>
      </c>
      <c r="B102" s="4" t="s">
        <v>191</v>
      </c>
      <c r="C102" s="12">
        <v>9.1999999999999993</v>
      </c>
      <c r="D102" s="5">
        <f>VLOOKUP(E102,Sheet2!A:C,2,FALSE)</f>
        <v>12</v>
      </c>
      <c r="E102" s="4" t="s">
        <v>469</v>
      </c>
      <c r="F102" s="5">
        <v>9</v>
      </c>
      <c r="G102" s="5" t="str">
        <f t="shared" si="3"/>
        <v>MULT</v>
      </c>
      <c r="H102" s="9">
        <v>2</v>
      </c>
      <c r="I102" s="9"/>
      <c r="J102" s="4" t="str">
        <f t="shared" si="4"/>
        <v/>
      </c>
      <c r="K102" s="4" t="s">
        <v>192</v>
      </c>
      <c r="L102" s="6" t="s">
        <v>728</v>
      </c>
      <c r="M102" s="6" t="str">
        <f t="shared" si="5"/>
        <v>'2KI-9-2' =&gt; array('N'=&gt;'', 'C'=&gt;"Jehu's Companions Find Jezebel's Remains", 'F'=&gt;'Hebrew-OT-106-Jehus-Companions-Find-Jezebels-Remains'),</v>
      </c>
    </row>
    <row r="103" spans="1:13" x14ac:dyDescent="0.25">
      <c r="A103" s="7">
        <v>12</v>
      </c>
      <c r="B103" s="4" t="s">
        <v>193</v>
      </c>
      <c r="C103" s="12">
        <v>17</v>
      </c>
      <c r="D103" s="5">
        <f>VLOOKUP(E103,Sheet2!A:C,2,FALSE)</f>
        <v>12</v>
      </c>
      <c r="E103" s="4" t="s">
        <v>469</v>
      </c>
      <c r="F103" s="5">
        <v>17</v>
      </c>
      <c r="G103" s="5" t="str">
        <f t="shared" si="3"/>
        <v/>
      </c>
      <c r="H103" s="9"/>
      <c r="I103" s="9"/>
      <c r="J103" s="4" t="str">
        <f t="shared" si="4"/>
        <v/>
      </c>
      <c r="K103" s="4" t="s">
        <v>194</v>
      </c>
      <c r="L103" s="6" t="s">
        <v>729</v>
      </c>
      <c r="M103" s="6" t="str">
        <f t="shared" si="5"/>
        <v>'2KI-17' =&gt; array('N'=&gt;'', 'C'=&gt;"Foreign Nations Are Slain by Lions in Samaria", 'F'=&gt;'Hebrew-OT-108-Foreign-Nations-Are-Slain-by-Lions-in-Samaria'),</v>
      </c>
    </row>
    <row r="104" spans="1:13" x14ac:dyDescent="0.25">
      <c r="A104" s="7">
        <v>12</v>
      </c>
      <c r="B104" s="4" t="s">
        <v>195</v>
      </c>
      <c r="C104" s="12">
        <v>19</v>
      </c>
      <c r="D104" s="5">
        <f>VLOOKUP(E104,Sheet2!A:C,2,FALSE)</f>
        <v>12</v>
      </c>
      <c r="E104" s="4" t="s">
        <v>469</v>
      </c>
      <c r="F104" s="5">
        <v>19</v>
      </c>
      <c r="G104" s="5" t="str">
        <f t="shared" si="3"/>
        <v/>
      </c>
      <c r="H104" s="9"/>
      <c r="I104" s="9"/>
      <c r="J104" s="4" t="str">
        <f t="shared" si="4"/>
        <v/>
      </c>
      <c r="K104" s="4" t="s">
        <v>443</v>
      </c>
      <c r="L104" s="6" t="s">
        <v>730</v>
      </c>
      <c r="M104" s="6" t="str">
        <f t="shared" si="5"/>
        <v>'2KI-19' =&gt; array('N'=&gt;'', 'C'=&gt;"Sennacherib's Army is Destroyed", 'F'=&gt;'Hebrew-OT-112-Sennacheribs-Army-is-Destroyed'),</v>
      </c>
    </row>
    <row r="105" spans="1:13" x14ac:dyDescent="0.25">
      <c r="A105" s="7">
        <v>12</v>
      </c>
      <c r="B105" s="4" t="s">
        <v>196</v>
      </c>
      <c r="C105" s="12">
        <v>25</v>
      </c>
      <c r="D105" s="5">
        <f>VLOOKUP(E105,Sheet2!A:C,2,FALSE)</f>
        <v>12</v>
      </c>
      <c r="E105" s="4" t="s">
        <v>469</v>
      </c>
      <c r="F105" s="5">
        <v>25</v>
      </c>
      <c r="G105" s="5" t="str">
        <f t="shared" si="3"/>
        <v/>
      </c>
      <c r="H105" s="9"/>
      <c r="I105" s="9"/>
      <c r="J105" s="4" t="str">
        <f t="shared" si="4"/>
        <v/>
      </c>
      <c r="K105" s="4" t="s">
        <v>197</v>
      </c>
      <c r="L105" s="6" t="s">
        <v>731</v>
      </c>
      <c r="M105" s="6" t="str">
        <f t="shared" si="5"/>
        <v>'2KI-25' =&gt; array('N'=&gt;'', 'C'=&gt;"Zedekiah's Sons Are Slaughtered before His Eyes", 'F'=&gt;'Hebrew-OT-113-Zedekiahs-Sons-Are-Slaughtered-before-His-Eyes'),</v>
      </c>
    </row>
    <row r="106" spans="1:13" x14ac:dyDescent="0.25">
      <c r="A106" s="7">
        <v>13</v>
      </c>
      <c r="B106" s="4" t="s">
        <v>198</v>
      </c>
      <c r="C106" s="12">
        <v>10</v>
      </c>
      <c r="D106" s="5">
        <f>VLOOKUP(E106,Sheet2!A:C,2,FALSE)</f>
        <v>13</v>
      </c>
      <c r="E106" s="4" t="s">
        <v>464</v>
      </c>
      <c r="F106" s="5">
        <v>10</v>
      </c>
      <c r="G106" s="5" t="str">
        <f t="shared" si="3"/>
        <v/>
      </c>
      <c r="H106" s="9"/>
      <c r="I106" s="9"/>
      <c r="J106" s="4" t="str">
        <f t="shared" si="4"/>
        <v/>
      </c>
      <c r="K106" s="4" t="s">
        <v>199</v>
      </c>
      <c r="L106" s="6" t="s">
        <v>732</v>
      </c>
      <c r="M106" s="6" t="str">
        <f t="shared" si="5"/>
        <v>'1CH-10' =&gt; array('N'=&gt;'', 'C'=&gt;"Jabesh-Gileadites Recover the Bodies of Saul and His Sons", 'F'=&gt;'Hebrew-OT-082-Jabesh-Gileadites-Recover-the-Bodies-of-Saul-and-His-Sons'),</v>
      </c>
    </row>
    <row r="107" spans="1:13" x14ac:dyDescent="0.25">
      <c r="A107" s="7">
        <v>13</v>
      </c>
      <c r="B107" s="4" t="s">
        <v>200</v>
      </c>
      <c r="C107" s="12">
        <v>21</v>
      </c>
      <c r="D107" s="5">
        <f>VLOOKUP(E107,Sheet2!A:C,2,FALSE)</f>
        <v>13</v>
      </c>
      <c r="E107" s="4" t="s">
        <v>464</v>
      </c>
      <c r="F107" s="5">
        <v>21</v>
      </c>
      <c r="G107" s="5" t="str">
        <f t="shared" si="3"/>
        <v/>
      </c>
      <c r="H107" s="9"/>
      <c r="I107" s="9"/>
      <c r="J107" s="4" t="str">
        <f t="shared" si="4"/>
        <v/>
      </c>
      <c r="K107" s="4" t="s">
        <v>201</v>
      </c>
      <c r="L107" s="6" t="s">
        <v>733</v>
      </c>
      <c r="M107" s="6" t="str">
        <f t="shared" si="5"/>
        <v>'1CH-21' =&gt; array('N'=&gt;'', 'C'=&gt;"The Plague of Jerusalem", 'F'=&gt;'Hebrew-OT-088-The-Plague-of-Jerusalem'),</v>
      </c>
    </row>
    <row r="108" spans="1:13" x14ac:dyDescent="0.25">
      <c r="A108" s="7">
        <v>14</v>
      </c>
      <c r="B108" s="4" t="s">
        <v>202</v>
      </c>
      <c r="C108" s="12">
        <v>9</v>
      </c>
      <c r="D108" s="5">
        <f>VLOOKUP(E108,Sheet2!A:C,2,FALSE)</f>
        <v>14</v>
      </c>
      <c r="E108" s="4" t="s">
        <v>468</v>
      </c>
      <c r="F108" s="5">
        <v>9</v>
      </c>
      <c r="G108" s="5" t="str">
        <f t="shared" si="3"/>
        <v/>
      </c>
      <c r="H108" s="9"/>
      <c r="I108" s="9"/>
      <c r="J108" s="4" t="str">
        <f t="shared" si="4"/>
        <v/>
      </c>
      <c r="K108" s="4" t="s">
        <v>203</v>
      </c>
      <c r="L108" s="6" t="s">
        <v>734</v>
      </c>
      <c r="M108" s="6" t="str">
        <f t="shared" si="5"/>
        <v>'2CH-9' =&gt; array('N'=&gt;'', 'C'=&gt;"Solomon Receives the Queen of Sheba", 'F'=&gt;'Hebrew-OT-092-Solomon-Receives-the-Queen-of-Sheba'),</v>
      </c>
    </row>
    <row r="109" spans="1:13" x14ac:dyDescent="0.25">
      <c r="A109" s="7">
        <v>14</v>
      </c>
      <c r="B109" s="4" t="s">
        <v>204</v>
      </c>
      <c r="C109" s="12">
        <v>10</v>
      </c>
      <c r="D109" s="5">
        <f>VLOOKUP(E109,Sheet2!A:C,2,FALSE)</f>
        <v>14</v>
      </c>
      <c r="E109" s="4" t="s">
        <v>468</v>
      </c>
      <c r="F109" s="5">
        <v>10</v>
      </c>
      <c r="G109" s="5" t="str">
        <f t="shared" si="3"/>
        <v/>
      </c>
      <c r="H109" s="9"/>
      <c r="I109" s="9"/>
      <c r="J109" s="4" t="str">
        <f t="shared" si="4"/>
        <v/>
      </c>
      <c r="K109" s="4" t="s">
        <v>205</v>
      </c>
      <c r="L109" s="6" t="s">
        <v>735</v>
      </c>
      <c r="M109" s="6" t="str">
        <f t="shared" si="5"/>
        <v>'2CH-10' =&gt; array('N'=&gt;'', 'C'=&gt;"King Solomon in Old Age", 'F'=&gt;'Hebrew-OT-093-King-Solomon-in-Old-Age'),</v>
      </c>
    </row>
    <row r="110" spans="1:13" x14ac:dyDescent="0.25">
      <c r="A110" s="7">
        <v>14</v>
      </c>
      <c r="B110" s="4" t="s">
        <v>206</v>
      </c>
      <c r="C110" s="12">
        <v>20</v>
      </c>
      <c r="D110" s="5">
        <f>VLOOKUP(E110,Sheet2!A:C,2,FALSE)</f>
        <v>14</v>
      </c>
      <c r="E110" s="4" t="s">
        <v>468</v>
      </c>
      <c r="F110" s="5">
        <v>20</v>
      </c>
      <c r="G110" s="5" t="str">
        <f t="shared" si="3"/>
        <v/>
      </c>
      <c r="H110" s="9"/>
      <c r="I110" s="9"/>
      <c r="J110" s="4" t="str">
        <f t="shared" si="4"/>
        <v/>
      </c>
      <c r="K110" s="4" t="s">
        <v>207</v>
      </c>
      <c r="L110" s="6" t="s">
        <v>736</v>
      </c>
      <c r="M110" s="6" t="str">
        <f t="shared" si="5"/>
        <v>'2CH-20' =&gt; array('N'=&gt;'', 'C'=&gt;"The Ammonite and Moabite Armies Are Destroyed", 'F'=&gt;'Hebrew-OT-099-The-Ammonite-and-Moabite-Armies-Are-Destroyed'),</v>
      </c>
    </row>
    <row r="111" spans="1:13" x14ac:dyDescent="0.25">
      <c r="A111" s="7">
        <v>14</v>
      </c>
      <c r="B111" s="4" t="s">
        <v>208</v>
      </c>
      <c r="C111" s="12">
        <v>22</v>
      </c>
      <c r="D111" s="5">
        <f>VLOOKUP(E111,Sheet2!A:C,2,FALSE)</f>
        <v>14</v>
      </c>
      <c r="E111" s="4" t="s">
        <v>468</v>
      </c>
      <c r="F111" s="5">
        <v>22</v>
      </c>
      <c r="G111" s="5" t="str">
        <f t="shared" si="3"/>
        <v/>
      </c>
      <c r="H111" s="9"/>
      <c r="I111" s="9"/>
      <c r="J111" s="4" t="str">
        <f t="shared" si="4"/>
        <v/>
      </c>
      <c r="K111" s="4" t="s">
        <v>209</v>
      </c>
      <c r="L111" s="6" t="s">
        <v>737</v>
      </c>
      <c r="M111" s="6" t="str">
        <f t="shared" si="5"/>
        <v>'2CH-22' =&gt; array('N'=&gt;'', 'C'=&gt;"The Death of Athaliah", 'F'=&gt;'Hebrew-OT-107-The-Death-of-Athaliah'),</v>
      </c>
    </row>
    <row r="112" spans="1:13" x14ac:dyDescent="0.25">
      <c r="A112" s="7">
        <v>15</v>
      </c>
      <c r="B112" s="4" t="s">
        <v>210</v>
      </c>
      <c r="C112" s="12">
        <v>1</v>
      </c>
      <c r="D112" s="5">
        <f>VLOOKUP(E112,Sheet2!A:C,2,FALSE)</f>
        <v>15</v>
      </c>
      <c r="E112" s="4" t="s">
        <v>477</v>
      </c>
      <c r="F112" s="5">
        <v>1</v>
      </c>
      <c r="G112" s="5" t="str">
        <f t="shared" si="3"/>
        <v/>
      </c>
      <c r="H112" s="9"/>
      <c r="I112" s="9"/>
      <c r="J112" s="4" t="str">
        <f t="shared" si="4"/>
        <v/>
      </c>
      <c r="K112" s="4" t="s">
        <v>211</v>
      </c>
      <c r="L112" s="6" t="s">
        <v>738</v>
      </c>
      <c r="M112" s="6" t="str">
        <f t="shared" si="5"/>
        <v>'EZR-1' =&gt; array('N'=&gt;'', 'C'=&gt;"Cyrus Restores the Vessels of the Temple", 'F'=&gt;'Hebrew-OT-130-Cyrus-Restores-the-Vessels-of-the-Temple'),</v>
      </c>
    </row>
    <row r="113" spans="1:13" x14ac:dyDescent="0.25">
      <c r="A113" s="7">
        <v>15</v>
      </c>
      <c r="B113" s="4" t="s">
        <v>212</v>
      </c>
      <c r="C113" s="12">
        <v>3</v>
      </c>
      <c r="D113" s="5">
        <f>VLOOKUP(E113,Sheet2!A:C,2,FALSE)</f>
        <v>15</v>
      </c>
      <c r="E113" s="4" t="s">
        <v>477</v>
      </c>
      <c r="F113" s="5">
        <v>3</v>
      </c>
      <c r="G113" s="5" t="str">
        <f t="shared" si="3"/>
        <v/>
      </c>
      <c r="H113" s="9"/>
      <c r="I113" s="9"/>
      <c r="J113" s="4" t="str">
        <f t="shared" si="4"/>
        <v/>
      </c>
      <c r="K113" s="4" t="s">
        <v>444</v>
      </c>
      <c r="L113" s="6" t="s">
        <v>739</v>
      </c>
      <c r="M113" s="6" t="str">
        <f t="shared" si="5"/>
        <v>'EZR-3' =&gt; array('N'=&gt;'', 'C'=&gt;"The Rebuilding of the Temple is Begun", 'F'=&gt;'Hebrew-OT-135-The-Rebuilding-of-the-Temple-is-Begun'),</v>
      </c>
    </row>
    <row r="114" spans="1:13" x14ac:dyDescent="0.25">
      <c r="A114" s="7">
        <v>15</v>
      </c>
      <c r="B114" s="4" t="s">
        <v>213</v>
      </c>
      <c r="C114" s="12">
        <v>7</v>
      </c>
      <c r="D114" s="5">
        <f>VLOOKUP(E114,Sheet2!A:C,2,FALSE)</f>
        <v>15</v>
      </c>
      <c r="E114" s="4" t="s">
        <v>477</v>
      </c>
      <c r="F114" s="5">
        <v>7</v>
      </c>
      <c r="G114" s="5" t="str">
        <f t="shared" si="3"/>
        <v/>
      </c>
      <c r="H114" s="9"/>
      <c r="I114" s="9"/>
      <c r="J114" s="4" t="str">
        <f t="shared" si="4"/>
        <v/>
      </c>
      <c r="K114" s="4" t="s">
        <v>214</v>
      </c>
      <c r="L114" s="6" t="s">
        <v>740</v>
      </c>
      <c r="M114" s="6" t="str">
        <f t="shared" si="5"/>
        <v>'EZR-7' =&gt; array('N'=&gt;'', 'C'=&gt;"Artaxerxes Grants Freedom to the Jews", 'F'=&gt;'Hebrew-OT-131-Artaxerxes-Grants-Freedom-to-the-Jews'),</v>
      </c>
    </row>
    <row r="115" spans="1:13" x14ac:dyDescent="0.25">
      <c r="A115" s="7">
        <v>15</v>
      </c>
      <c r="B115" s="4" t="s">
        <v>215</v>
      </c>
      <c r="C115" s="12">
        <v>9</v>
      </c>
      <c r="D115" s="5">
        <f>VLOOKUP(E115,Sheet2!A:C,2,FALSE)</f>
        <v>15</v>
      </c>
      <c r="E115" s="4" t="s">
        <v>477</v>
      </c>
      <c r="F115" s="5">
        <v>9</v>
      </c>
      <c r="G115" s="5" t="str">
        <f t="shared" si="3"/>
        <v/>
      </c>
      <c r="H115" s="9"/>
      <c r="I115" s="9"/>
      <c r="J115" s="4" t="str">
        <f t="shared" si="4"/>
        <v/>
      </c>
      <c r="K115" s="4" t="s">
        <v>216</v>
      </c>
      <c r="L115" s="6" t="s">
        <v>741</v>
      </c>
      <c r="M115" s="6" t="str">
        <f t="shared" si="5"/>
        <v>'EZR-9' =&gt; array('N'=&gt;'', 'C'=&gt;"Ezra Kneels in Prayer", 'F'=&gt;'Hebrew-OT-132-Ezra-Kneels-in-Prayer'),</v>
      </c>
    </row>
    <row r="116" spans="1:13" x14ac:dyDescent="0.25">
      <c r="A116" s="7">
        <v>16</v>
      </c>
      <c r="B116" s="4" t="s">
        <v>217</v>
      </c>
      <c r="C116" s="12">
        <v>2</v>
      </c>
      <c r="D116" s="5">
        <f>VLOOKUP(E116,Sheet2!A:C,2,FALSE)</f>
        <v>16</v>
      </c>
      <c r="E116" s="4" t="s">
        <v>491</v>
      </c>
      <c r="F116" s="5">
        <v>2</v>
      </c>
      <c r="G116" s="5" t="str">
        <f t="shared" si="3"/>
        <v/>
      </c>
      <c r="H116" s="9"/>
      <c r="I116" s="9"/>
      <c r="J116" s="4" t="str">
        <f t="shared" si="4"/>
        <v/>
      </c>
      <c r="K116" s="4" t="s">
        <v>218</v>
      </c>
      <c r="L116" s="6" t="s">
        <v>742</v>
      </c>
      <c r="M116" s="6" t="str">
        <f t="shared" si="5"/>
        <v>'NEH-2' =&gt; array('N'=&gt;'', 'C'=&gt;"Nehemiah Views the Ruins of Jerusalem's Walls", 'F'=&gt;'Hebrew-OT-134-Nehemiah-Views-the-Ruins-of-Jerusalems-Walls'),</v>
      </c>
    </row>
    <row r="117" spans="1:13" x14ac:dyDescent="0.25">
      <c r="A117" s="7">
        <v>16</v>
      </c>
      <c r="B117" s="4" t="s">
        <v>219</v>
      </c>
      <c r="C117" s="12">
        <v>8</v>
      </c>
      <c r="D117" s="5">
        <f>VLOOKUP(E117,Sheet2!A:C,2,FALSE)</f>
        <v>16</v>
      </c>
      <c r="E117" s="4" t="s">
        <v>491</v>
      </c>
      <c r="F117" s="5">
        <v>8</v>
      </c>
      <c r="G117" s="5" t="str">
        <f t="shared" si="3"/>
        <v/>
      </c>
      <c r="H117" s="9"/>
      <c r="I117" s="9"/>
      <c r="J117" s="4" t="str">
        <f t="shared" si="4"/>
        <v/>
      </c>
      <c r="K117" s="4" t="s">
        <v>220</v>
      </c>
      <c r="L117" s="6" t="s">
        <v>743</v>
      </c>
      <c r="M117" s="6" t="str">
        <f t="shared" si="5"/>
        <v>'NEH-8' =&gt; array('N'=&gt;'', 'C'=&gt;"Ezra Reads the Law to the People", 'F'=&gt;'Hebrew-OT-133-Ezra-Reads-the-Law-to-the-People'),</v>
      </c>
    </row>
    <row r="118" spans="1:13" x14ac:dyDescent="0.25">
      <c r="A118" s="7">
        <v>17</v>
      </c>
      <c r="B118" s="4" t="s">
        <v>225</v>
      </c>
      <c r="C118" s="12">
        <v>1</v>
      </c>
      <c r="D118" s="5">
        <f>VLOOKUP(E118,Sheet2!A:C,2,FALSE)</f>
        <v>17</v>
      </c>
      <c r="E118" s="4" t="s">
        <v>474</v>
      </c>
      <c r="F118" s="5">
        <v>1</v>
      </c>
      <c r="G118" s="5" t="str">
        <f t="shared" si="3"/>
        <v/>
      </c>
      <c r="H118" s="9"/>
      <c r="I118" s="9"/>
      <c r="J118" s="4" t="str">
        <f t="shared" si="4"/>
        <v/>
      </c>
      <c r="K118" s="4" t="s">
        <v>226</v>
      </c>
      <c r="L118" s="6" t="s">
        <v>744</v>
      </c>
      <c r="M118" s="6" t="str">
        <f t="shared" si="5"/>
        <v>'EST-1' =&gt; array('N'=&gt;'', 'C'=&gt;"Queen Vashti Refuses to Obey Ahasuerus' Command", 'F'=&gt;'Hebrew-OT-119-Queen-Vashti-Refuses-to-Obey-Ahasuerus-Command'),</v>
      </c>
    </row>
    <row r="119" spans="1:13" x14ac:dyDescent="0.25">
      <c r="A119" s="7">
        <v>17</v>
      </c>
      <c r="B119" s="4" t="s">
        <v>227</v>
      </c>
      <c r="C119" s="12">
        <v>6</v>
      </c>
      <c r="D119" s="5">
        <f>VLOOKUP(E119,Sheet2!A:C,2,FALSE)</f>
        <v>17</v>
      </c>
      <c r="E119" s="4" t="s">
        <v>474</v>
      </c>
      <c r="F119" s="5">
        <v>6</v>
      </c>
      <c r="G119" s="5" t="str">
        <f t="shared" si="3"/>
        <v/>
      </c>
      <c r="H119" s="9"/>
      <c r="I119" s="9"/>
      <c r="J119" s="4" t="str">
        <f t="shared" si="4"/>
        <v/>
      </c>
      <c r="K119" s="4" t="s">
        <v>228</v>
      </c>
      <c r="L119" s="6" t="s">
        <v>745</v>
      </c>
      <c r="M119" s="6" t="str">
        <f t="shared" si="5"/>
        <v>'EST-6' =&gt; array('N'=&gt;'', 'C'=&gt;"The Triumph of Mordecai", 'F'=&gt;'Hebrew-OT-120-The-Triumph-of-Mordecai'),</v>
      </c>
    </row>
    <row r="120" spans="1:13" x14ac:dyDescent="0.25">
      <c r="A120" s="7">
        <v>17</v>
      </c>
      <c r="B120" s="4" t="s">
        <v>229</v>
      </c>
      <c r="C120" s="12">
        <v>7</v>
      </c>
      <c r="D120" s="5">
        <f>VLOOKUP(E120,Sheet2!A:C,2,FALSE)</f>
        <v>17</v>
      </c>
      <c r="E120" s="4" t="s">
        <v>474</v>
      </c>
      <c r="F120" s="5">
        <v>7</v>
      </c>
      <c r="G120" s="5" t="str">
        <f t="shared" si="3"/>
        <v/>
      </c>
      <c r="H120" s="9"/>
      <c r="I120" s="9"/>
      <c r="J120" s="4" t="str">
        <f t="shared" si="4"/>
        <v/>
      </c>
      <c r="K120" s="4" t="s">
        <v>230</v>
      </c>
      <c r="L120" s="6" t="s">
        <v>746</v>
      </c>
      <c r="M120" s="6" t="str">
        <f t="shared" si="5"/>
        <v>'EST-7' =&gt; array('N'=&gt;'', 'C'=&gt;"Esther Accuses Haman", 'F'=&gt;'Hebrew-OT-121-Esther-Accuses-Haman'),</v>
      </c>
    </row>
    <row r="121" spans="1:13" x14ac:dyDescent="0.25">
      <c r="A121" s="7">
        <v>18</v>
      </c>
      <c r="B121" s="4" t="s">
        <v>242</v>
      </c>
      <c r="C121" s="12">
        <v>1</v>
      </c>
      <c r="D121" s="5">
        <f>VLOOKUP(E121,Sheet2!A:C,2,FALSE)</f>
        <v>18</v>
      </c>
      <c r="E121" s="4" t="s">
        <v>481</v>
      </c>
      <c r="F121" s="5">
        <v>1</v>
      </c>
      <c r="G121" s="5" t="str">
        <f t="shared" si="3"/>
        <v/>
      </c>
      <c r="H121" s="9"/>
      <c r="I121" s="9"/>
      <c r="J121" s="4" t="str">
        <f t="shared" si="4"/>
        <v/>
      </c>
      <c r="K121" s="4" t="s">
        <v>243</v>
      </c>
      <c r="L121" s="6" t="s">
        <v>747</v>
      </c>
      <c r="M121" s="6" t="str">
        <f t="shared" si="5"/>
        <v>'JOB-1' =&gt; array('N'=&gt;'', 'C'=&gt;"Job Hears of His Misfortunes", 'F'=&gt;'Hebrew-OT-136-Job-Hears-of-His-Misfortunes'),</v>
      </c>
    </row>
    <row r="122" spans="1:13" x14ac:dyDescent="0.25">
      <c r="A122" s="7">
        <v>18</v>
      </c>
      <c r="B122" s="4" t="s">
        <v>244</v>
      </c>
      <c r="C122" s="12">
        <v>2</v>
      </c>
      <c r="D122" s="5">
        <f>VLOOKUP(E122,Sheet2!A:C,2,FALSE)</f>
        <v>18</v>
      </c>
      <c r="E122" s="4" t="s">
        <v>481</v>
      </c>
      <c r="F122" s="5">
        <v>2</v>
      </c>
      <c r="G122" s="5" t="str">
        <f t="shared" si="3"/>
        <v/>
      </c>
      <c r="H122" s="9"/>
      <c r="I122" s="9"/>
      <c r="J122" s="4" t="str">
        <f t="shared" si="4"/>
        <v/>
      </c>
      <c r="K122" s="4" t="s">
        <v>245</v>
      </c>
      <c r="L122" s="6" t="s">
        <v>748</v>
      </c>
      <c r="M122" s="6" t="str">
        <f t="shared" si="5"/>
        <v>'JOB-2' =&gt; array('N'=&gt;'', 'C'=&gt;"Job Speaks with His Friends", 'F'=&gt;'Hebrew-OT-137-Job-Speaks-with-His-Friends'),</v>
      </c>
    </row>
    <row r="123" spans="1:13" x14ac:dyDescent="0.25">
      <c r="A123" s="7">
        <v>10</v>
      </c>
      <c r="B123" s="4" t="s">
        <v>160</v>
      </c>
      <c r="C123" s="12">
        <v>18.100000000000001</v>
      </c>
      <c r="D123" s="5">
        <f>VLOOKUP(E123,Sheet2!A:C,2,FALSE)</f>
        <v>19</v>
      </c>
      <c r="E123" s="4" t="s">
        <v>499</v>
      </c>
      <c r="F123" s="5">
        <v>3</v>
      </c>
      <c r="G123" s="5" t="str">
        <f t="shared" si="3"/>
        <v/>
      </c>
      <c r="H123" s="9"/>
      <c r="I123" s="9">
        <v>2</v>
      </c>
      <c r="J123" s="4" t="str">
        <f t="shared" si="4"/>
        <v>YES</v>
      </c>
      <c r="K123" s="4" t="s">
        <v>161</v>
      </c>
      <c r="L123" s="6" t="s">
        <v>711</v>
      </c>
      <c r="M123" s="6" t="str">
        <f t="shared" si="5"/>
        <v>'PSA-3' =&gt; array('N'=&gt;'2', 'C'=&gt;"The Death of Absalom", 'F'=&gt;'Hebrew-OT-085-The-Death-of-Absalom'),</v>
      </c>
    </row>
    <row r="124" spans="1:13" x14ac:dyDescent="0.25">
      <c r="A124" s="7">
        <v>10</v>
      </c>
      <c r="B124" s="4" t="s">
        <v>162</v>
      </c>
      <c r="C124" s="12">
        <v>18.2</v>
      </c>
      <c r="D124" s="5">
        <f>VLOOKUP(E124,Sheet2!A:C,2,FALSE)</f>
        <v>19</v>
      </c>
      <c r="E124" s="4" t="s">
        <v>499</v>
      </c>
      <c r="F124" s="5">
        <v>3</v>
      </c>
      <c r="G124" s="5" t="str">
        <f t="shared" si="3"/>
        <v>MULT</v>
      </c>
      <c r="H124" s="9">
        <v>2</v>
      </c>
      <c r="I124" s="9"/>
      <c r="J124" s="4" t="str">
        <f t="shared" si="4"/>
        <v>YES</v>
      </c>
      <c r="K124" s="4" t="s">
        <v>163</v>
      </c>
      <c r="L124" s="6" t="s">
        <v>712</v>
      </c>
      <c r="M124" s="6" t="str">
        <f t="shared" si="5"/>
        <v>'PSA-3-2' =&gt; array('N'=&gt;'', 'C'=&gt;"David Mourns the Death of Absalom", 'F'=&gt;'Hebrew-OT-086-David-Mourns-the-Death-of-Absalom'),</v>
      </c>
    </row>
    <row r="125" spans="1:13" x14ac:dyDescent="0.25">
      <c r="A125" s="7">
        <v>10</v>
      </c>
      <c r="B125" s="4" t="s">
        <v>162</v>
      </c>
      <c r="C125" s="12">
        <v>18.2</v>
      </c>
      <c r="D125" s="5">
        <f>VLOOKUP(E125,Sheet2!A:C,2,FALSE)</f>
        <v>19</v>
      </c>
      <c r="E125" s="4" t="s">
        <v>499</v>
      </c>
      <c r="F125" s="5">
        <v>4</v>
      </c>
      <c r="G125" s="5" t="str">
        <f t="shared" si="3"/>
        <v/>
      </c>
      <c r="H125" s="9"/>
      <c r="I125" s="9"/>
      <c r="J125" s="4" t="str">
        <f t="shared" si="4"/>
        <v>YES</v>
      </c>
      <c r="K125" s="4" t="s">
        <v>163</v>
      </c>
      <c r="L125" s="6" t="s">
        <v>712</v>
      </c>
      <c r="M125" s="6" t="str">
        <f t="shared" si="5"/>
        <v>'PSA-4' =&gt; array('N'=&gt;'', 'C'=&gt;"David Mourns the Death of Absalom", 'F'=&gt;'Hebrew-OT-086-David-Mourns-the-Death-of-Absalom'),</v>
      </c>
    </row>
    <row r="126" spans="1:13" x14ac:dyDescent="0.25">
      <c r="A126" s="7">
        <v>10</v>
      </c>
      <c r="B126" s="4" t="s">
        <v>165</v>
      </c>
      <c r="C126" s="12">
        <v>21.2</v>
      </c>
      <c r="D126" s="5">
        <f>VLOOKUP(E126,Sheet2!A:C,2,FALSE)</f>
        <v>19</v>
      </c>
      <c r="E126" s="4" t="s">
        <v>499</v>
      </c>
      <c r="F126" s="5">
        <v>7</v>
      </c>
      <c r="G126" s="5" t="str">
        <f t="shared" si="3"/>
        <v/>
      </c>
      <c r="H126" s="9"/>
      <c r="I126" s="9"/>
      <c r="J126" s="4" t="str">
        <f t="shared" si="4"/>
        <v>YES</v>
      </c>
      <c r="K126" s="4" t="s">
        <v>166</v>
      </c>
      <c r="L126" s="6" t="s">
        <v>714</v>
      </c>
      <c r="M126" s="6" t="str">
        <f t="shared" si="5"/>
        <v>'PSA-7' =&gt; array('N'=&gt;'', 'C'=&gt;"Abishai Saves David's Life", 'F'=&gt;'Hebrew-OT-089-Abishai-Saves-Davids-Life'),</v>
      </c>
    </row>
    <row r="127" spans="1:13" x14ac:dyDescent="0.25">
      <c r="A127" s="7">
        <v>10</v>
      </c>
      <c r="B127" s="4" t="s">
        <v>158</v>
      </c>
      <c r="C127" s="12">
        <v>12</v>
      </c>
      <c r="D127" s="5">
        <f>VLOOKUP(E127,Sheet2!A:C,2,FALSE)</f>
        <v>19</v>
      </c>
      <c r="E127" s="4" t="s">
        <v>499</v>
      </c>
      <c r="F127" s="5">
        <v>16</v>
      </c>
      <c r="G127" s="5" t="str">
        <f t="shared" si="3"/>
        <v/>
      </c>
      <c r="H127" s="9"/>
      <c r="I127" s="9"/>
      <c r="J127" s="4" t="str">
        <f t="shared" si="4"/>
        <v>YES</v>
      </c>
      <c r="K127" s="4" t="s">
        <v>159</v>
      </c>
      <c r="L127" s="6" t="s">
        <v>710</v>
      </c>
      <c r="M127" s="6" t="str">
        <f t="shared" si="5"/>
        <v>'PSA-16' =&gt; array('N'=&gt;'', 'C'=&gt;"David Attacks the Ammonites", 'F'=&gt;'Hebrew-OT-084-David-Attacks-the-Ammonites'),</v>
      </c>
    </row>
    <row r="128" spans="1:13" x14ac:dyDescent="0.25">
      <c r="A128" s="7">
        <v>9</v>
      </c>
      <c r="B128" s="4" t="s">
        <v>144</v>
      </c>
      <c r="C128" s="12">
        <v>18</v>
      </c>
      <c r="D128" s="5">
        <f>VLOOKUP(E128,Sheet2!A:C,2,FALSE)</f>
        <v>19</v>
      </c>
      <c r="E128" s="4" t="s">
        <v>499</v>
      </c>
      <c r="F128" s="5">
        <v>18</v>
      </c>
      <c r="G128" s="5" t="str">
        <f t="shared" si="3"/>
        <v/>
      </c>
      <c r="H128" s="9"/>
      <c r="I128" s="9">
        <v>2</v>
      </c>
      <c r="J128" s="4" t="str">
        <f t="shared" si="4"/>
        <v>YES</v>
      </c>
      <c r="K128" s="4" t="s">
        <v>145</v>
      </c>
      <c r="L128" s="6" t="s">
        <v>703</v>
      </c>
      <c r="M128" s="6" t="str">
        <f t="shared" si="5"/>
        <v>'PSA-18' =&gt; array('N'=&gt;'2', 'C'=&gt;"Saul Attempts to Kill David", 'F'=&gt;'Hebrew-OT-076-Saul-Attempts-to-Kill-David'),</v>
      </c>
    </row>
    <row r="129" spans="1:13" x14ac:dyDescent="0.25">
      <c r="A129" s="7">
        <v>9</v>
      </c>
      <c r="B129" s="4" t="s">
        <v>146</v>
      </c>
      <c r="C129" s="12">
        <v>19</v>
      </c>
      <c r="D129" s="5">
        <f>VLOOKUP(E129,Sheet2!A:C,2,FALSE)</f>
        <v>19</v>
      </c>
      <c r="E129" s="4" t="s">
        <v>499</v>
      </c>
      <c r="F129" s="5">
        <v>18</v>
      </c>
      <c r="G129" s="5" t="str">
        <f t="shared" si="3"/>
        <v>MULT</v>
      </c>
      <c r="H129" s="9">
        <v>2</v>
      </c>
      <c r="I129" s="9"/>
      <c r="J129" s="4" t="str">
        <f t="shared" si="4"/>
        <v>YES</v>
      </c>
      <c r="K129" s="4" t="s">
        <v>147</v>
      </c>
      <c r="L129" s="6" t="s">
        <v>704</v>
      </c>
      <c r="M129" s="6" t="str">
        <f t="shared" si="5"/>
        <v>'PSA-18-2' =&gt; array('N'=&gt;'', 'C'=&gt;"David Escapes through a Window", 'F'=&gt;'Hebrew-OT-077-David-Escapes-through-a-Window'),</v>
      </c>
    </row>
    <row r="130" spans="1:13" x14ac:dyDescent="0.25">
      <c r="A130" s="7">
        <v>9</v>
      </c>
      <c r="B130" s="4" t="s">
        <v>144</v>
      </c>
      <c r="C130" s="12">
        <v>18</v>
      </c>
      <c r="D130" s="5">
        <f>VLOOKUP(E130,Sheet2!A:C,2,FALSE)</f>
        <v>19</v>
      </c>
      <c r="E130" s="4" t="s">
        <v>499</v>
      </c>
      <c r="F130" s="5">
        <v>57</v>
      </c>
      <c r="G130" s="5" t="str">
        <f t="shared" si="3"/>
        <v/>
      </c>
      <c r="H130" s="9"/>
      <c r="I130" s="9">
        <v>2</v>
      </c>
      <c r="J130" s="4" t="str">
        <f t="shared" si="4"/>
        <v>YES</v>
      </c>
      <c r="K130" s="4" t="s">
        <v>145</v>
      </c>
      <c r="L130" s="6" t="s">
        <v>703</v>
      </c>
      <c r="M130" s="6" t="str">
        <f t="shared" si="5"/>
        <v>'PSA-57' =&gt; array('N'=&gt;'2', 'C'=&gt;"Saul Attempts to Kill David", 'F'=&gt;'Hebrew-OT-076-Saul-Attempts-to-Kill-David'),</v>
      </c>
    </row>
    <row r="131" spans="1:13" x14ac:dyDescent="0.25">
      <c r="A131" s="7">
        <v>9</v>
      </c>
      <c r="B131" s="4" t="s">
        <v>146</v>
      </c>
      <c r="C131" s="12">
        <v>19</v>
      </c>
      <c r="D131" s="5">
        <f>VLOOKUP(E131,Sheet2!A:C,2,FALSE)</f>
        <v>19</v>
      </c>
      <c r="E131" s="4" t="s">
        <v>499</v>
      </c>
      <c r="F131" s="5">
        <v>57</v>
      </c>
      <c r="G131" s="5" t="str">
        <f t="shared" ref="G131:G194" si="6">IF(E131&lt;&gt;E130,"",IF(F131&lt;&gt;F130,"","MULT"))</f>
        <v>MULT</v>
      </c>
      <c r="H131" s="9">
        <v>2</v>
      </c>
      <c r="I131" s="9"/>
      <c r="J131" s="4" t="str">
        <f t="shared" ref="J131:J194" si="7">IF(A131&lt;&gt;D131,"YES",IF(INT(C131)&lt;&gt;F131,"YES",""))</f>
        <v>YES</v>
      </c>
      <c r="K131" s="4" t="s">
        <v>147</v>
      </c>
      <c r="L131" s="6" t="s">
        <v>704</v>
      </c>
      <c r="M131" s="6" t="str">
        <f t="shared" ref="M131:M194" si="8">"'"&amp;E131&amp;"-"&amp;F131&amp;IF(H131="","","-")&amp;H131&amp;"' =&gt; array('N'=&gt;'"&amp;I131&amp;"', 'C'=&gt;"""&amp;K131&amp;""", 'F'=&gt;'"&amp;L131&amp;"'),"</f>
        <v>'PSA-57-2' =&gt; array('N'=&gt;'', 'C'=&gt;"David Escapes through a Window", 'F'=&gt;'Hebrew-OT-077-David-Escapes-through-a-Window'),</v>
      </c>
    </row>
    <row r="132" spans="1:13" x14ac:dyDescent="0.25">
      <c r="A132" s="7">
        <v>9</v>
      </c>
      <c r="B132" s="4" t="s">
        <v>144</v>
      </c>
      <c r="C132" s="12">
        <v>18</v>
      </c>
      <c r="D132" s="5">
        <f>VLOOKUP(E132,Sheet2!A:C,2,FALSE)</f>
        <v>19</v>
      </c>
      <c r="E132" s="4" t="s">
        <v>499</v>
      </c>
      <c r="F132" s="5">
        <v>59</v>
      </c>
      <c r="G132" s="5" t="str">
        <f t="shared" si="6"/>
        <v/>
      </c>
      <c r="H132" s="9"/>
      <c r="I132" s="9">
        <v>2</v>
      </c>
      <c r="J132" s="4" t="str">
        <f t="shared" si="7"/>
        <v>YES</v>
      </c>
      <c r="K132" s="4" t="s">
        <v>145</v>
      </c>
      <c r="L132" s="6" t="s">
        <v>703</v>
      </c>
      <c r="M132" s="6" t="str">
        <f t="shared" si="8"/>
        <v>'PSA-59' =&gt; array('N'=&gt;'2', 'C'=&gt;"Saul Attempts to Kill David", 'F'=&gt;'Hebrew-OT-076-Saul-Attempts-to-Kill-David'),</v>
      </c>
    </row>
    <row r="133" spans="1:13" x14ac:dyDescent="0.25">
      <c r="A133" s="7">
        <v>9</v>
      </c>
      <c r="B133" s="4" t="s">
        <v>146</v>
      </c>
      <c r="C133" s="12">
        <v>19</v>
      </c>
      <c r="D133" s="5">
        <f>VLOOKUP(E133,Sheet2!A:C,2,FALSE)</f>
        <v>19</v>
      </c>
      <c r="E133" s="4" t="s">
        <v>499</v>
      </c>
      <c r="F133" s="5">
        <v>59</v>
      </c>
      <c r="G133" s="5" t="str">
        <f t="shared" si="6"/>
        <v>MULT</v>
      </c>
      <c r="H133" s="9">
        <v>2</v>
      </c>
      <c r="I133" s="9"/>
      <c r="J133" s="4" t="str">
        <f t="shared" si="7"/>
        <v>YES</v>
      </c>
      <c r="K133" s="4" t="s">
        <v>147</v>
      </c>
      <c r="L133" s="6" t="s">
        <v>704</v>
      </c>
      <c r="M133" s="6" t="str">
        <f t="shared" si="8"/>
        <v>'PSA-59-2' =&gt; array('N'=&gt;'', 'C'=&gt;"David Escapes through a Window", 'F'=&gt;'Hebrew-OT-077-David-Escapes-through-a-Window'),</v>
      </c>
    </row>
    <row r="134" spans="1:13" x14ac:dyDescent="0.25">
      <c r="A134" s="7">
        <v>1</v>
      </c>
      <c r="B134" s="4" t="s">
        <v>0</v>
      </c>
      <c r="C134" s="12">
        <v>1</v>
      </c>
      <c r="D134" s="5">
        <f>VLOOKUP(E134,Sheet2!A:C,2,FALSE)</f>
        <v>19</v>
      </c>
      <c r="E134" s="4" t="s">
        <v>499</v>
      </c>
      <c r="F134" s="5">
        <v>119</v>
      </c>
      <c r="G134" s="5" t="str">
        <f t="shared" si="6"/>
        <v/>
      </c>
      <c r="H134" s="9"/>
      <c r="I134" s="9"/>
      <c r="J134" s="4" t="str">
        <f t="shared" si="7"/>
        <v>YES</v>
      </c>
      <c r="K134" s="4" t="s">
        <v>1</v>
      </c>
      <c r="L134" s="6" t="s">
        <v>628</v>
      </c>
      <c r="M134" s="6" t="str">
        <f t="shared" si="8"/>
        <v>'PSA-119' =&gt; array('N'=&gt;'', 'C'=&gt;"The Creation of Light", 'F'=&gt;'Hebrew-OT-001-The-Creation-of-Light'),</v>
      </c>
    </row>
    <row r="135" spans="1:13" x14ac:dyDescent="0.25">
      <c r="A135" s="7">
        <v>9</v>
      </c>
      <c r="B135" s="4" t="s">
        <v>142</v>
      </c>
      <c r="C135" s="12">
        <v>17</v>
      </c>
      <c r="D135" s="5">
        <f>VLOOKUP(E135,Sheet2!A:C,2,FALSE)</f>
        <v>19</v>
      </c>
      <c r="E135" s="4" t="s">
        <v>499</v>
      </c>
      <c r="F135" s="5">
        <v>143</v>
      </c>
      <c r="G135" s="5" t="str">
        <f t="shared" si="6"/>
        <v/>
      </c>
      <c r="H135" s="9"/>
      <c r="I135" s="9"/>
      <c r="J135" s="4" t="str">
        <f t="shared" si="7"/>
        <v>YES</v>
      </c>
      <c r="K135" s="4" t="s">
        <v>143</v>
      </c>
      <c r="L135" s="6" t="s">
        <v>702</v>
      </c>
      <c r="M135" s="6" t="str">
        <f t="shared" si="8"/>
        <v>'PSA-143' =&gt; array('N'=&gt;'', 'C'=&gt;"David Slays Goliath", 'F'=&gt;'Hebrew-OT-075-David-Slays-Goliath'),</v>
      </c>
    </row>
    <row r="136" spans="1:13" x14ac:dyDescent="0.25">
      <c r="A136" s="7">
        <v>14</v>
      </c>
      <c r="B136" s="4" t="s">
        <v>204</v>
      </c>
      <c r="C136" s="12">
        <v>10</v>
      </c>
      <c r="D136" s="5">
        <f>VLOOKUP(E136,Sheet2!A:C,2,FALSE)</f>
        <v>20</v>
      </c>
      <c r="E136" s="4" t="s">
        <v>500</v>
      </c>
      <c r="F136" s="5">
        <v>1</v>
      </c>
      <c r="G136" s="5" t="str">
        <f t="shared" si="6"/>
        <v/>
      </c>
      <c r="H136" s="9"/>
      <c r="I136" s="9"/>
      <c r="J136" s="4" t="str">
        <f t="shared" si="7"/>
        <v>YES</v>
      </c>
      <c r="K136" s="4" t="s">
        <v>205</v>
      </c>
      <c r="L136" s="6" t="s">
        <v>735</v>
      </c>
      <c r="M136" s="6" t="str">
        <f t="shared" si="8"/>
        <v>'PRO-1' =&gt; array('N'=&gt;'', 'C'=&gt;"King Solomon in Old Age", 'F'=&gt;'Hebrew-OT-093-King-Solomon-in-Old-Age'),</v>
      </c>
    </row>
    <row r="137" spans="1:13" x14ac:dyDescent="0.25">
      <c r="A137" s="7">
        <v>14</v>
      </c>
      <c r="B137" s="4" t="s">
        <v>204</v>
      </c>
      <c r="C137" s="12">
        <v>10</v>
      </c>
      <c r="D137" s="5">
        <f>VLOOKUP(E137,Sheet2!A:C,2,FALSE)</f>
        <v>21</v>
      </c>
      <c r="E137" s="4" t="s">
        <v>501</v>
      </c>
      <c r="F137" s="5">
        <v>1</v>
      </c>
      <c r="G137" s="5" t="str">
        <f t="shared" si="6"/>
        <v/>
      </c>
      <c r="H137" s="9"/>
      <c r="I137" s="9"/>
      <c r="J137" s="4" t="str">
        <f t="shared" si="7"/>
        <v>YES</v>
      </c>
      <c r="K137" s="4" t="s">
        <v>205</v>
      </c>
      <c r="L137" s="6" t="s">
        <v>735</v>
      </c>
      <c r="M137" s="6" t="str">
        <f t="shared" si="8"/>
        <v>'ECC-1' =&gt; array('N'=&gt;'', 'C'=&gt;"King Solomon in Old Age", 'F'=&gt;'Hebrew-OT-093-King-Solomon-in-Old-Age'),</v>
      </c>
    </row>
    <row r="138" spans="1:13" x14ac:dyDescent="0.25">
      <c r="A138" s="7">
        <v>1</v>
      </c>
      <c r="B138" s="4" t="s">
        <v>0</v>
      </c>
      <c r="C138" s="12">
        <v>1</v>
      </c>
      <c r="D138" s="5">
        <f>VLOOKUP(E138,Sheet2!A:C,2,FALSE)</f>
        <v>21</v>
      </c>
      <c r="E138" s="4" t="s">
        <v>501</v>
      </c>
      <c r="F138" s="5">
        <v>2</v>
      </c>
      <c r="G138" s="5" t="str">
        <f t="shared" si="6"/>
        <v/>
      </c>
      <c r="H138" s="9"/>
      <c r="I138" s="9"/>
      <c r="J138" s="4" t="str">
        <f t="shared" si="7"/>
        <v>YES</v>
      </c>
      <c r="K138" s="4" t="s">
        <v>1</v>
      </c>
      <c r="L138" s="6" t="s">
        <v>628</v>
      </c>
      <c r="M138" s="6" t="str">
        <f t="shared" si="8"/>
        <v>'ECC-2' =&gt; array('N'=&gt;'', 'C'=&gt;"The Creation of Light", 'F'=&gt;'Hebrew-OT-001-The-Creation-of-Light'),</v>
      </c>
    </row>
    <row r="139" spans="1:13" x14ac:dyDescent="0.25">
      <c r="A139" s="7">
        <v>14</v>
      </c>
      <c r="B139" s="4" t="s">
        <v>204</v>
      </c>
      <c r="C139" s="12">
        <v>10</v>
      </c>
      <c r="D139" s="5">
        <f>VLOOKUP(E139,Sheet2!A:C,2,FALSE)</f>
        <v>22</v>
      </c>
      <c r="E139" s="4" t="s">
        <v>502</v>
      </c>
      <c r="F139" s="5">
        <v>1</v>
      </c>
      <c r="G139" s="5" t="str">
        <f t="shared" si="6"/>
        <v/>
      </c>
      <c r="H139" s="9"/>
      <c r="I139" s="9"/>
      <c r="J139" s="4" t="str">
        <f t="shared" si="7"/>
        <v>YES</v>
      </c>
      <c r="K139" s="4" t="s">
        <v>205</v>
      </c>
      <c r="L139" s="6" t="s">
        <v>735</v>
      </c>
      <c r="M139" s="6" t="str">
        <f t="shared" si="8"/>
        <v>'SOL-1' =&gt; array('N'=&gt;'', 'C'=&gt;"King Solomon in Old Age", 'F'=&gt;'Hebrew-OT-093-King-Solomon-in-Old-Age'),</v>
      </c>
    </row>
    <row r="140" spans="1:13" x14ac:dyDescent="0.25">
      <c r="A140" s="7">
        <v>23</v>
      </c>
      <c r="B140" s="4" t="s">
        <v>246</v>
      </c>
      <c r="C140" s="12">
        <v>6</v>
      </c>
      <c r="D140" s="5">
        <f>VLOOKUP(E140,Sheet2!A:C,2,FALSE)</f>
        <v>23</v>
      </c>
      <c r="E140" s="4" t="s">
        <v>479</v>
      </c>
      <c r="F140" s="5">
        <v>6</v>
      </c>
      <c r="G140" s="5" t="str">
        <f t="shared" si="6"/>
        <v/>
      </c>
      <c r="H140" s="9"/>
      <c r="I140" s="9"/>
      <c r="J140" s="4" t="str">
        <f t="shared" si="7"/>
        <v/>
      </c>
      <c r="K140" s="4" t="s">
        <v>247</v>
      </c>
      <c r="L140" s="6" t="s">
        <v>749</v>
      </c>
      <c r="M140" s="6" t="str">
        <f t="shared" si="8"/>
        <v>'ISA-6' =&gt; array('N'=&gt;'', 'C'=&gt;"The Prophet Isaiah", 'F'=&gt;'Hebrew-OT-110-The-Prophet-Isaiah'),</v>
      </c>
    </row>
    <row r="141" spans="1:13" x14ac:dyDescent="0.25">
      <c r="A141" s="7">
        <v>23</v>
      </c>
      <c r="B141" s="4" t="s">
        <v>248</v>
      </c>
      <c r="C141" s="12">
        <v>13</v>
      </c>
      <c r="D141" s="5">
        <f>VLOOKUP(E141,Sheet2!A:C,2,FALSE)</f>
        <v>23</v>
      </c>
      <c r="E141" s="4" t="s">
        <v>479</v>
      </c>
      <c r="F141" s="5">
        <v>13</v>
      </c>
      <c r="G141" s="5" t="str">
        <f t="shared" si="6"/>
        <v/>
      </c>
      <c r="H141" s="9"/>
      <c r="I141" s="9"/>
      <c r="J141" s="4" t="str">
        <f t="shared" si="7"/>
        <v/>
      </c>
      <c r="K141" s="4" t="s">
        <v>249</v>
      </c>
      <c r="L141" s="6" t="s">
        <v>750</v>
      </c>
      <c r="M141" s="6" t="str">
        <f t="shared" si="8"/>
        <v>'ISA-13' =&gt; array('N'=&gt;'', 'C'=&gt;"Isaiah's Vision of the Destruction of Babylon", 'F'=&gt;'Hebrew-OT-127-Isaiahs-Vision-of-the-Destruction-of-Babylon'),</v>
      </c>
    </row>
    <row r="142" spans="1:13" x14ac:dyDescent="0.25">
      <c r="A142" s="7">
        <v>23</v>
      </c>
      <c r="B142" s="4" t="s">
        <v>250</v>
      </c>
      <c r="C142" s="12">
        <v>27</v>
      </c>
      <c r="D142" s="5">
        <f>VLOOKUP(E142,Sheet2!A:C,2,FALSE)</f>
        <v>23</v>
      </c>
      <c r="E142" s="4" t="s">
        <v>479</v>
      </c>
      <c r="F142" s="5">
        <v>27</v>
      </c>
      <c r="G142" s="5" t="str">
        <f t="shared" si="6"/>
        <v/>
      </c>
      <c r="H142" s="9"/>
      <c r="I142" s="9"/>
      <c r="J142" s="4" t="str">
        <f t="shared" si="7"/>
        <v/>
      </c>
      <c r="K142" s="4" t="s">
        <v>251</v>
      </c>
      <c r="L142" s="6" t="s">
        <v>751</v>
      </c>
      <c r="M142" s="6" t="str">
        <f t="shared" si="8"/>
        <v>'ISA-27' =&gt; array('N'=&gt;'', 'C'=&gt;"The Destruction of Leviathan", 'F'=&gt;'Hebrew-OT-128-The-Destruction-of-Leviathan'),</v>
      </c>
    </row>
    <row r="143" spans="1:13" x14ac:dyDescent="0.25">
      <c r="A143" s="7">
        <v>12</v>
      </c>
      <c r="B143" s="4" t="s">
        <v>195</v>
      </c>
      <c r="C143" s="12">
        <v>19</v>
      </c>
      <c r="D143" s="5">
        <f>VLOOKUP(E143,Sheet2!A:C,2,FALSE)</f>
        <v>23</v>
      </c>
      <c r="E143" s="4" t="s">
        <v>479</v>
      </c>
      <c r="F143" s="5">
        <v>37</v>
      </c>
      <c r="G143" s="5" t="str">
        <f t="shared" si="6"/>
        <v/>
      </c>
      <c r="H143" s="9"/>
      <c r="I143" s="9"/>
      <c r="J143" s="4" t="str">
        <f t="shared" si="7"/>
        <v>YES</v>
      </c>
      <c r="K143" s="4" t="s">
        <v>443</v>
      </c>
      <c r="L143" s="6" t="s">
        <v>730</v>
      </c>
      <c r="M143" s="6" t="str">
        <f t="shared" si="8"/>
        <v>'ISA-37' =&gt; array('N'=&gt;'', 'C'=&gt;"Sennacherib's Army is Destroyed", 'F'=&gt;'Hebrew-OT-112-Sennacheribs-Army-is-Destroyed'),</v>
      </c>
    </row>
    <row r="144" spans="1:13" x14ac:dyDescent="0.25">
      <c r="A144" s="7">
        <v>15</v>
      </c>
      <c r="B144" s="4" t="s">
        <v>210</v>
      </c>
      <c r="C144" s="12">
        <v>1</v>
      </c>
      <c r="D144" s="5">
        <f>VLOOKUP(E144,Sheet2!A:C,2,FALSE)</f>
        <v>23</v>
      </c>
      <c r="E144" s="4" t="s">
        <v>479</v>
      </c>
      <c r="F144" s="5">
        <v>44</v>
      </c>
      <c r="G144" s="5" t="str">
        <f t="shared" si="6"/>
        <v/>
      </c>
      <c r="H144" s="9"/>
      <c r="I144" s="9"/>
      <c r="J144" s="4" t="str">
        <f t="shared" si="7"/>
        <v>YES</v>
      </c>
      <c r="K144" s="4" t="s">
        <v>211</v>
      </c>
      <c r="L144" s="6" t="s">
        <v>738</v>
      </c>
      <c r="M144" s="6" t="str">
        <f t="shared" si="8"/>
        <v>'ISA-44' =&gt; array('N'=&gt;'', 'C'=&gt;"Cyrus Restores the Vessels of the Temple", 'F'=&gt;'Hebrew-OT-130-Cyrus-Restores-the-Vessels-of-the-Temple'),</v>
      </c>
    </row>
    <row r="145" spans="1:13" x14ac:dyDescent="0.25">
      <c r="A145" s="7">
        <v>15</v>
      </c>
      <c r="B145" s="4" t="s">
        <v>210</v>
      </c>
      <c r="C145" s="12">
        <v>1</v>
      </c>
      <c r="D145" s="5">
        <f>VLOOKUP(E145,Sheet2!A:C,2,FALSE)</f>
        <v>23</v>
      </c>
      <c r="E145" s="4" t="s">
        <v>479</v>
      </c>
      <c r="F145" s="5">
        <v>45</v>
      </c>
      <c r="G145" s="5" t="str">
        <f t="shared" si="6"/>
        <v/>
      </c>
      <c r="H145" s="9"/>
      <c r="I145" s="9"/>
      <c r="J145" s="4" t="str">
        <f t="shared" si="7"/>
        <v>YES</v>
      </c>
      <c r="K145" s="4" t="s">
        <v>211</v>
      </c>
      <c r="L145" s="6" t="s">
        <v>738</v>
      </c>
      <c r="M145" s="6" t="str">
        <f t="shared" si="8"/>
        <v>'ISA-45' =&gt; array('N'=&gt;'', 'C'=&gt;"Cyrus Restores the Vessels of the Temple", 'F'=&gt;'Hebrew-OT-130-Cyrus-Restores-the-Vessels-of-the-Temple'),</v>
      </c>
    </row>
    <row r="146" spans="1:13" x14ac:dyDescent="0.25">
      <c r="A146" s="7">
        <v>1</v>
      </c>
      <c r="B146" s="4" t="s">
        <v>13</v>
      </c>
      <c r="C146" s="12">
        <v>8</v>
      </c>
      <c r="D146" s="5">
        <f>VLOOKUP(E146,Sheet2!A:C,2,FALSE)</f>
        <v>23</v>
      </c>
      <c r="E146" s="4" t="s">
        <v>479</v>
      </c>
      <c r="F146" s="5">
        <v>54</v>
      </c>
      <c r="G146" s="5" t="str">
        <f t="shared" si="6"/>
        <v/>
      </c>
      <c r="H146" s="9"/>
      <c r="I146" s="9"/>
      <c r="J146" s="4" t="str">
        <f t="shared" si="7"/>
        <v>YES</v>
      </c>
      <c r="K146" s="4" t="s">
        <v>437</v>
      </c>
      <c r="L146" s="6" t="s">
        <v>635</v>
      </c>
      <c r="M146" s="6" t="str">
        <f t="shared" si="8"/>
        <v>'ISA-54' =&gt; array('N'=&gt;'', 'C'=&gt;"A Dove is Sent Forth from the Ark", 'F'=&gt;'Hebrew-OT-008-A-Dove-is-Sent-Forth-from-the-Ark'),</v>
      </c>
    </row>
    <row r="147" spans="1:13" x14ac:dyDescent="0.25">
      <c r="A147" s="7">
        <v>24</v>
      </c>
      <c r="B147" s="4" t="s">
        <v>252</v>
      </c>
      <c r="C147" s="12">
        <v>1</v>
      </c>
      <c r="D147" s="5">
        <f>VLOOKUP(E147,Sheet2!A:C,2,FALSE)</f>
        <v>24</v>
      </c>
      <c r="E147" s="4" t="s">
        <v>480</v>
      </c>
      <c r="F147" s="5">
        <v>1</v>
      </c>
      <c r="G147" s="5" t="str">
        <f t="shared" si="6"/>
        <v/>
      </c>
      <c r="H147" s="9"/>
      <c r="I147" s="9"/>
      <c r="J147" s="4" t="str">
        <f t="shared" si="7"/>
        <v/>
      </c>
      <c r="K147" s="4" t="s">
        <v>253</v>
      </c>
      <c r="L147" s="6" t="s">
        <v>752</v>
      </c>
      <c r="M147" s="6" t="str">
        <f t="shared" si="8"/>
        <v>'JER-1' =&gt; array('N'=&gt;'', 'C'=&gt;"The Prophet Jeremiah", 'F'=&gt;'Hebrew-OT-114-The-Prophet-Jeremiah'),</v>
      </c>
    </row>
    <row r="148" spans="1:13" x14ac:dyDescent="0.25">
      <c r="A148" s="7">
        <v>24</v>
      </c>
      <c r="B148" s="4" t="s">
        <v>254</v>
      </c>
      <c r="C148" s="12">
        <v>36</v>
      </c>
      <c r="D148" s="5">
        <f>VLOOKUP(E148,Sheet2!A:C,2,FALSE)</f>
        <v>24</v>
      </c>
      <c r="E148" s="4" t="s">
        <v>480</v>
      </c>
      <c r="F148" s="5">
        <v>36</v>
      </c>
      <c r="G148" s="5" t="str">
        <f t="shared" si="6"/>
        <v/>
      </c>
      <c r="H148" s="9"/>
      <c r="I148" s="9"/>
      <c r="J148" s="4" t="str">
        <f t="shared" si="7"/>
        <v/>
      </c>
      <c r="K148" s="4" t="s">
        <v>255</v>
      </c>
      <c r="L148" s="6" t="s">
        <v>753</v>
      </c>
      <c r="M148" s="6" t="str">
        <f t="shared" si="8"/>
        <v>'JER-36' =&gt; array('N'=&gt;'', 'C'=&gt;"Baruch Writes Jeremiah's Prophecies", 'F'=&gt;'Hebrew-OT-115-Baruch-Writes-Jeremiahs-Prophecies'),</v>
      </c>
    </row>
    <row r="149" spans="1:13" x14ac:dyDescent="0.25">
      <c r="A149" s="7">
        <v>24</v>
      </c>
      <c r="B149" s="4" t="s">
        <v>256</v>
      </c>
      <c r="C149" s="12">
        <v>39</v>
      </c>
      <c r="D149" s="5">
        <f>VLOOKUP(E149,Sheet2!A:C,2,FALSE)</f>
        <v>24</v>
      </c>
      <c r="E149" s="4" t="s">
        <v>480</v>
      </c>
      <c r="F149" s="5">
        <v>39</v>
      </c>
      <c r="G149" s="5" t="str">
        <f t="shared" si="6"/>
        <v/>
      </c>
      <c r="H149" s="9"/>
      <c r="I149" s="9"/>
      <c r="J149" s="4" t="str">
        <f t="shared" si="7"/>
        <v/>
      </c>
      <c r="K149" s="4" t="s">
        <v>257</v>
      </c>
      <c r="L149" s="6" t="s">
        <v>754</v>
      </c>
      <c r="M149" s="6" t="str">
        <f t="shared" si="8"/>
        <v>'JER-39' =&gt; array('N'=&gt;'', 'C'=&gt;"People Mourn over the Destruction of Jerusalem", 'F'=&gt;'Hebrew-OT-116-People-Mourn-over-the-Destruction-of-Jerusalem'),</v>
      </c>
    </row>
    <row r="150" spans="1:13" x14ac:dyDescent="0.25">
      <c r="A150" s="7">
        <v>26</v>
      </c>
      <c r="B150" s="4" t="s">
        <v>259</v>
      </c>
      <c r="C150" s="12">
        <v>1</v>
      </c>
      <c r="D150" s="5">
        <f>VLOOKUP(E150,Sheet2!A:C,2,FALSE)</f>
        <v>26</v>
      </c>
      <c r="E150" s="4" t="s">
        <v>476</v>
      </c>
      <c r="F150" s="5">
        <v>1</v>
      </c>
      <c r="G150" s="5" t="str">
        <f t="shared" si="6"/>
        <v/>
      </c>
      <c r="H150" s="9"/>
      <c r="I150" s="9"/>
      <c r="J150" s="4" t="str">
        <f t="shared" si="7"/>
        <v/>
      </c>
      <c r="K150" s="4" t="s">
        <v>260</v>
      </c>
      <c r="L150" s="6" t="s">
        <v>755</v>
      </c>
      <c r="M150" s="6" t="str">
        <f t="shared" si="8"/>
        <v>'EZE-1' =&gt; array('N'=&gt;'', 'C'=&gt;"The Prophet Ezekiel", 'F'=&gt;'Hebrew-OT-117-The-Prophet-Ezekiel'),</v>
      </c>
    </row>
    <row r="151" spans="1:13" x14ac:dyDescent="0.25">
      <c r="A151" s="7">
        <v>26</v>
      </c>
      <c r="B151" s="4" t="s">
        <v>261</v>
      </c>
      <c r="C151" s="12">
        <v>37</v>
      </c>
      <c r="D151" s="5">
        <f>VLOOKUP(E151,Sheet2!A:C,2,FALSE)</f>
        <v>26</v>
      </c>
      <c r="E151" s="4" t="s">
        <v>476</v>
      </c>
      <c r="F151" s="5">
        <v>37</v>
      </c>
      <c r="G151" s="5" t="str">
        <f t="shared" si="6"/>
        <v/>
      </c>
      <c r="H151" s="9"/>
      <c r="I151" s="9"/>
      <c r="J151" s="4" t="str">
        <f t="shared" si="7"/>
        <v/>
      </c>
      <c r="K151" s="4" t="s">
        <v>432</v>
      </c>
      <c r="L151" s="6" t="s">
        <v>756</v>
      </c>
      <c r="M151" s="6" t="str">
        <f t="shared" si="8"/>
        <v>'EZE-37' =&gt; array('N'=&gt;'', 'C'=&gt;"Ezekiel's Vision of the Valley of Dry Bones", 'F'=&gt;'Hebrew-OT-118-Ezekiels-Vision-of-the-Valley-of-Dry-Bones'),</v>
      </c>
    </row>
    <row r="152" spans="1:13" x14ac:dyDescent="0.25">
      <c r="A152" s="7">
        <v>27</v>
      </c>
      <c r="B152" s="4" t="s">
        <v>262</v>
      </c>
      <c r="C152" s="12">
        <v>1</v>
      </c>
      <c r="D152" s="5">
        <f>VLOOKUP(E152,Sheet2!A:C,2,FALSE)</f>
        <v>27</v>
      </c>
      <c r="E152" s="4" t="s">
        <v>473</v>
      </c>
      <c r="F152" s="5">
        <v>1</v>
      </c>
      <c r="G152" s="5" t="str">
        <f t="shared" si="6"/>
        <v/>
      </c>
      <c r="H152" s="9"/>
      <c r="I152" s="9">
        <v>2</v>
      </c>
      <c r="J152" s="4" t="str">
        <f t="shared" si="7"/>
        <v/>
      </c>
      <c r="K152" s="4" t="s">
        <v>263</v>
      </c>
      <c r="L152" s="6" t="s">
        <v>757</v>
      </c>
      <c r="M152" s="6" t="str">
        <f t="shared" si="8"/>
        <v>'DAN-1' =&gt; array('N'=&gt;'2', 'C'=&gt;"Daniel among the Exiles", 'F'=&gt;'Hebrew-OT-122-Daniel-among-the-Exiles'),</v>
      </c>
    </row>
    <row r="153" spans="1:13" x14ac:dyDescent="0.25">
      <c r="A153" s="7">
        <v>15</v>
      </c>
      <c r="B153" s="4" t="s">
        <v>210</v>
      </c>
      <c r="C153" s="12">
        <v>1</v>
      </c>
      <c r="D153" s="5">
        <f>VLOOKUP(E153,Sheet2!A:C,2,FALSE)</f>
        <v>27</v>
      </c>
      <c r="E153" s="4" t="s">
        <v>473</v>
      </c>
      <c r="F153" s="5">
        <v>1</v>
      </c>
      <c r="G153" s="5" t="str">
        <f t="shared" si="6"/>
        <v>MULT</v>
      </c>
      <c r="H153" s="9">
        <v>2</v>
      </c>
      <c r="I153" s="9"/>
      <c r="J153" s="4" t="str">
        <f t="shared" si="7"/>
        <v>YES</v>
      </c>
      <c r="K153" s="4" t="s">
        <v>211</v>
      </c>
      <c r="L153" s="6" t="s">
        <v>738</v>
      </c>
      <c r="M153" s="6" t="str">
        <f t="shared" si="8"/>
        <v>'DAN-1-2' =&gt; array('N'=&gt;'', 'C'=&gt;"Cyrus Restores the Vessels of the Temple", 'F'=&gt;'Hebrew-OT-130-Cyrus-Restores-the-Vessels-of-the-Temple'),</v>
      </c>
    </row>
    <row r="154" spans="1:13" x14ac:dyDescent="0.25">
      <c r="A154" s="7">
        <v>27</v>
      </c>
      <c r="B154" s="4" t="s">
        <v>264</v>
      </c>
      <c r="C154" s="12">
        <v>3</v>
      </c>
      <c r="D154" s="5">
        <f>VLOOKUP(E154,Sheet2!A:C,2,FALSE)</f>
        <v>27</v>
      </c>
      <c r="E154" s="4" t="s">
        <v>473</v>
      </c>
      <c r="F154" s="5">
        <v>3</v>
      </c>
      <c r="G154" s="5" t="str">
        <f t="shared" si="6"/>
        <v/>
      </c>
      <c r="H154" s="9"/>
      <c r="I154" s="9"/>
      <c r="J154" s="4" t="str">
        <f t="shared" si="7"/>
        <v/>
      </c>
      <c r="K154" s="4" t="s">
        <v>433</v>
      </c>
      <c r="L154" s="6" t="s">
        <v>758</v>
      </c>
      <c r="M154" s="6" t="str">
        <f t="shared" si="8"/>
        <v>'DAN-3' =&gt; array('N'=&gt;'', 'C'=&gt;"Shadrach, Meshach, and Abednego in the Furnace", 'F'=&gt;'Hebrew-OT-123-Shadrach-Meshach-and-Abednego-in-the-Furnace'),</v>
      </c>
    </row>
    <row r="155" spans="1:13" x14ac:dyDescent="0.25">
      <c r="A155" s="7">
        <v>27</v>
      </c>
      <c r="B155" s="4" t="s">
        <v>265</v>
      </c>
      <c r="C155" s="12">
        <v>5</v>
      </c>
      <c r="D155" s="5">
        <f>VLOOKUP(E155,Sheet2!A:C,2,FALSE)</f>
        <v>27</v>
      </c>
      <c r="E155" s="4" t="s">
        <v>473</v>
      </c>
      <c r="F155" s="5">
        <v>5</v>
      </c>
      <c r="G155" s="5" t="str">
        <f t="shared" si="6"/>
        <v/>
      </c>
      <c r="H155" s="9"/>
      <c r="I155" s="9"/>
      <c r="J155" s="4" t="str">
        <f t="shared" si="7"/>
        <v/>
      </c>
      <c r="K155" s="4" t="s">
        <v>266</v>
      </c>
      <c r="L155" s="6" t="s">
        <v>759</v>
      </c>
      <c r="M155" s="6" t="str">
        <f t="shared" si="8"/>
        <v>'DAN-5' =&gt; array('N'=&gt;'', 'C'=&gt;"Daniel Interprets the Writing on the Wall", 'F'=&gt;'Hebrew-OT-124-Daniel-Interprets-the-Writing-on-the-Wall'),</v>
      </c>
    </row>
    <row r="156" spans="1:13" x14ac:dyDescent="0.25">
      <c r="A156" s="7">
        <v>27</v>
      </c>
      <c r="B156" s="4" t="s">
        <v>267</v>
      </c>
      <c r="C156" s="12">
        <v>6</v>
      </c>
      <c r="D156" s="5">
        <f>VLOOKUP(E156,Sheet2!A:C,2,FALSE)</f>
        <v>27</v>
      </c>
      <c r="E156" s="4" t="s">
        <v>473</v>
      </c>
      <c r="F156" s="5">
        <v>6</v>
      </c>
      <c r="G156" s="5" t="str">
        <f t="shared" si="6"/>
        <v/>
      </c>
      <c r="H156" s="9"/>
      <c r="I156" s="9">
        <v>2</v>
      </c>
      <c r="J156" s="4" t="str">
        <f t="shared" si="7"/>
        <v/>
      </c>
      <c r="K156" s="4" t="s">
        <v>268</v>
      </c>
      <c r="L156" s="6" t="s">
        <v>760</v>
      </c>
      <c r="M156" s="6" t="str">
        <f t="shared" si="8"/>
        <v>'DAN-6' =&gt; array('N'=&gt;'2', 'C'=&gt;"Daniel in the Lions' Den", 'F'=&gt;'Hebrew-OT-125-Daniel-in-the-Lions-Den'),</v>
      </c>
    </row>
    <row r="157" spans="1:13" x14ac:dyDescent="0.25">
      <c r="A157" s="7">
        <v>15</v>
      </c>
      <c r="B157" s="4" t="s">
        <v>210</v>
      </c>
      <c r="C157" s="12">
        <v>1</v>
      </c>
      <c r="D157" s="5">
        <f>VLOOKUP(E157,Sheet2!A:C,2,FALSE)</f>
        <v>27</v>
      </c>
      <c r="E157" s="4" t="s">
        <v>473</v>
      </c>
      <c r="F157" s="5">
        <v>6</v>
      </c>
      <c r="G157" s="5" t="str">
        <f t="shared" si="6"/>
        <v>MULT</v>
      </c>
      <c r="H157" s="9">
        <v>2</v>
      </c>
      <c r="I157" s="9"/>
      <c r="J157" s="4" t="str">
        <f t="shared" si="7"/>
        <v>YES</v>
      </c>
      <c r="K157" s="4" t="s">
        <v>211</v>
      </c>
      <c r="L157" s="6" t="s">
        <v>738</v>
      </c>
      <c r="M157" s="6" t="str">
        <f t="shared" si="8"/>
        <v>'DAN-6-2' =&gt; array('N'=&gt;'', 'C'=&gt;"Cyrus Restores the Vessels of the Temple", 'F'=&gt;'Hebrew-OT-130-Cyrus-Restores-the-Vessels-of-the-Temple'),</v>
      </c>
    </row>
    <row r="158" spans="1:13" x14ac:dyDescent="0.25">
      <c r="A158" s="7">
        <v>27</v>
      </c>
      <c r="B158" s="4" t="s">
        <v>269</v>
      </c>
      <c r="C158" s="12">
        <v>7</v>
      </c>
      <c r="D158" s="5">
        <f>VLOOKUP(E158,Sheet2!A:C,2,FALSE)</f>
        <v>27</v>
      </c>
      <c r="E158" s="4" t="s">
        <v>473</v>
      </c>
      <c r="F158" s="5">
        <v>7</v>
      </c>
      <c r="G158" s="5" t="str">
        <f t="shared" si="6"/>
        <v/>
      </c>
      <c r="H158" s="9"/>
      <c r="I158" s="9"/>
      <c r="J158" s="4" t="str">
        <f t="shared" si="7"/>
        <v/>
      </c>
      <c r="K158" s="4" t="s">
        <v>270</v>
      </c>
      <c r="L158" s="6" t="s">
        <v>761</v>
      </c>
      <c r="M158" s="6" t="str">
        <f t="shared" si="8"/>
        <v>'DAN-7' =&gt; array('N'=&gt;'', 'C'=&gt;"Daniel's Vision of the Four Beasts", 'F'=&gt;'Hebrew-OT-126-Daniels-Vision-of-the-Four-Beasts'),</v>
      </c>
    </row>
    <row r="159" spans="1:13" x14ac:dyDescent="0.25">
      <c r="A159" s="7">
        <v>24</v>
      </c>
      <c r="B159" s="4" t="s">
        <v>252</v>
      </c>
      <c r="C159" s="12">
        <v>1</v>
      </c>
      <c r="D159" s="5">
        <f>VLOOKUP(E159,Sheet2!A:C,2,FALSE)</f>
        <v>27</v>
      </c>
      <c r="E159" s="4" t="s">
        <v>473</v>
      </c>
      <c r="F159" s="5">
        <v>9</v>
      </c>
      <c r="G159" s="5" t="str">
        <f t="shared" si="6"/>
        <v/>
      </c>
      <c r="H159" s="9"/>
      <c r="I159" s="9"/>
      <c r="J159" s="4" t="str">
        <f t="shared" si="7"/>
        <v>YES</v>
      </c>
      <c r="K159" s="4" t="s">
        <v>253</v>
      </c>
      <c r="L159" s="6" t="s">
        <v>752</v>
      </c>
      <c r="M159" s="6" t="str">
        <f t="shared" si="8"/>
        <v>'DAN-9' =&gt; array('N'=&gt;'', 'C'=&gt;"The Prophet Jeremiah", 'F'=&gt;'Hebrew-OT-114-The-Prophet-Jeremiah'),</v>
      </c>
    </row>
    <row r="160" spans="1:13" x14ac:dyDescent="0.25">
      <c r="A160" s="7">
        <v>15</v>
      </c>
      <c r="B160" s="4" t="s">
        <v>210</v>
      </c>
      <c r="C160" s="12">
        <v>1</v>
      </c>
      <c r="D160" s="5">
        <f>VLOOKUP(E160,Sheet2!A:C,2,FALSE)</f>
        <v>27</v>
      </c>
      <c r="E160" s="4" t="s">
        <v>473</v>
      </c>
      <c r="F160" s="5">
        <v>10</v>
      </c>
      <c r="G160" s="5" t="str">
        <f t="shared" si="6"/>
        <v/>
      </c>
      <c r="H160" s="9"/>
      <c r="I160" s="9"/>
      <c r="J160" s="4" t="str">
        <f t="shared" si="7"/>
        <v>YES</v>
      </c>
      <c r="K160" s="4" t="s">
        <v>211</v>
      </c>
      <c r="L160" s="6" t="s">
        <v>738</v>
      </c>
      <c r="M160" s="6" t="str">
        <f t="shared" si="8"/>
        <v>'DAN-10' =&gt; array('N'=&gt;'', 'C'=&gt;"Cyrus Restores the Vessels of the Temple", 'F'=&gt;'Hebrew-OT-130-Cyrus-Restores-the-Vessels-of-the-Temple'),</v>
      </c>
    </row>
    <row r="161" spans="1:13" x14ac:dyDescent="0.25">
      <c r="A161" s="7">
        <v>30</v>
      </c>
      <c r="B161" s="4" t="s">
        <v>274</v>
      </c>
      <c r="C161" s="12">
        <v>1</v>
      </c>
      <c r="D161" s="5">
        <f>VLOOKUP(E161,Sheet2!A:C,2,FALSE)</f>
        <v>30</v>
      </c>
      <c r="E161" s="4" t="s">
        <v>472</v>
      </c>
      <c r="F161" s="5">
        <v>1</v>
      </c>
      <c r="G161" s="5" t="str">
        <f t="shared" si="6"/>
        <v/>
      </c>
      <c r="H161" s="9"/>
      <c r="I161" s="9"/>
      <c r="J161" s="4" t="str">
        <f t="shared" si="7"/>
        <v/>
      </c>
      <c r="K161" s="4" t="s">
        <v>275</v>
      </c>
      <c r="L161" s="6" t="s">
        <v>762</v>
      </c>
      <c r="M161" s="6" t="str">
        <f t="shared" si="8"/>
        <v>'AMO-1' =&gt; array('N'=&gt;'', 'C'=&gt;"The Prophet Amos", 'F'=&gt;'Hebrew-OT-109-The-Prophet-Amos'),</v>
      </c>
    </row>
    <row r="162" spans="1:13" x14ac:dyDescent="0.25">
      <c r="A162" s="7">
        <v>32</v>
      </c>
      <c r="B162" s="4" t="s">
        <v>276</v>
      </c>
      <c r="C162" s="12">
        <v>2</v>
      </c>
      <c r="D162" s="5">
        <f>VLOOKUP(E162,Sheet2!A:C,2,FALSE)</f>
        <v>32</v>
      </c>
      <c r="E162" s="4" t="s">
        <v>483</v>
      </c>
      <c r="F162" s="5">
        <v>2</v>
      </c>
      <c r="G162" s="5" t="str">
        <f t="shared" si="6"/>
        <v/>
      </c>
      <c r="H162" s="9"/>
      <c r="I162" s="9"/>
      <c r="J162" s="4" t="str">
        <f t="shared" si="7"/>
        <v/>
      </c>
      <c r="K162" s="4" t="s">
        <v>447</v>
      </c>
      <c r="L162" s="6" t="s">
        <v>763</v>
      </c>
      <c r="M162" s="6" t="str">
        <f t="shared" si="8"/>
        <v>'JON-2' =&gt; array('N'=&gt;'', 'C'=&gt;"Jonah is Spewed Forth by the Whale", 'F'=&gt;'Hebrew-OT-138-Jonah-is-Spewed-Forth-by-the-Whale'),</v>
      </c>
    </row>
    <row r="163" spans="1:13" x14ac:dyDescent="0.25">
      <c r="A163" s="7">
        <v>32</v>
      </c>
      <c r="B163" s="4" t="s">
        <v>277</v>
      </c>
      <c r="C163" s="12">
        <v>3</v>
      </c>
      <c r="D163" s="5">
        <f>VLOOKUP(E163,Sheet2!A:C,2,FALSE)</f>
        <v>32</v>
      </c>
      <c r="E163" s="4" t="s">
        <v>483</v>
      </c>
      <c r="F163" s="5">
        <v>3</v>
      </c>
      <c r="G163" s="5" t="str">
        <f t="shared" si="6"/>
        <v/>
      </c>
      <c r="H163" s="9"/>
      <c r="I163" s="9"/>
      <c r="J163" s="4" t="str">
        <f t="shared" si="7"/>
        <v/>
      </c>
      <c r="K163" s="4" t="s">
        <v>278</v>
      </c>
      <c r="L163" s="6" t="s">
        <v>764</v>
      </c>
      <c r="M163" s="6" t="str">
        <f t="shared" si="8"/>
        <v>'JON-3' =&gt; array('N'=&gt;'', 'C'=&gt;"Jonah Preaches to the Ninevites", 'F'=&gt;'Hebrew-OT-139-Jonah-Preaches-to-the-Ninevites'),</v>
      </c>
    </row>
    <row r="164" spans="1:13" x14ac:dyDescent="0.25">
      <c r="A164" s="7">
        <v>33</v>
      </c>
      <c r="B164" s="4" t="s">
        <v>279</v>
      </c>
      <c r="C164" s="12">
        <v>1</v>
      </c>
      <c r="D164" s="5">
        <f>VLOOKUP(E164,Sheet2!A:C,2,FALSE)</f>
        <v>33</v>
      </c>
      <c r="E164" s="4" t="s">
        <v>490</v>
      </c>
      <c r="F164" s="5">
        <v>1</v>
      </c>
      <c r="G164" s="5" t="str">
        <f t="shared" si="6"/>
        <v/>
      </c>
      <c r="H164" s="9"/>
      <c r="I164" s="9"/>
      <c r="J164" s="4" t="str">
        <f t="shared" si="7"/>
        <v/>
      </c>
      <c r="K164" s="4" t="s">
        <v>280</v>
      </c>
      <c r="L164" s="6" t="s">
        <v>765</v>
      </c>
      <c r="M164" s="6" t="str">
        <f t="shared" si="8"/>
        <v>'MIC-1' =&gt; array('N'=&gt;'', 'C'=&gt;"Micah Exhorts the Israelites to Repent", 'F'=&gt;'Hebrew-OT-111-Micah-Exhorts-the-Israelites-to-Repent'),</v>
      </c>
    </row>
    <row r="165" spans="1:13" x14ac:dyDescent="0.25">
      <c r="A165" s="7">
        <v>15</v>
      </c>
      <c r="B165" s="4" t="s">
        <v>212</v>
      </c>
      <c r="C165" s="12">
        <v>3</v>
      </c>
      <c r="D165" s="5">
        <f>VLOOKUP(E165,Sheet2!A:C,2,FALSE)</f>
        <v>37</v>
      </c>
      <c r="E165" s="4" t="s">
        <v>510</v>
      </c>
      <c r="F165" s="5">
        <v>1</v>
      </c>
      <c r="G165" s="5" t="str">
        <f t="shared" si="6"/>
        <v/>
      </c>
      <c r="H165" s="9"/>
      <c r="I165" s="9"/>
      <c r="J165" s="4" t="str">
        <f t="shared" si="7"/>
        <v>YES</v>
      </c>
      <c r="K165" s="4" t="s">
        <v>444</v>
      </c>
      <c r="L165" s="6" t="s">
        <v>739</v>
      </c>
      <c r="M165" s="6" t="str">
        <f t="shared" si="8"/>
        <v>'HAG-1' =&gt; array('N'=&gt;'', 'C'=&gt;"The Rebuilding of the Temple is Begun", 'F'=&gt;'Hebrew-OT-135-The-Rebuilding-of-the-Temple-is-Begun'),</v>
      </c>
    </row>
    <row r="166" spans="1:13" x14ac:dyDescent="0.25">
      <c r="A166" s="7">
        <v>38</v>
      </c>
      <c r="B166" s="4" t="s">
        <v>281</v>
      </c>
      <c r="C166" s="12">
        <v>6</v>
      </c>
      <c r="D166" s="5">
        <f>VLOOKUP(E166,Sheet2!A:C,2,FALSE)</f>
        <v>38</v>
      </c>
      <c r="E166" s="4" t="s">
        <v>495</v>
      </c>
      <c r="F166" s="5">
        <v>6</v>
      </c>
      <c r="G166" s="5" t="str">
        <f t="shared" si="6"/>
        <v/>
      </c>
      <c r="H166" s="9"/>
      <c r="I166" s="9"/>
      <c r="J166" s="4" t="str">
        <f t="shared" si="7"/>
        <v/>
      </c>
      <c r="K166" s="4" t="s">
        <v>282</v>
      </c>
      <c r="L166" s="6" t="s">
        <v>766</v>
      </c>
      <c r="M166" s="6" t="str">
        <f t="shared" si="8"/>
        <v>'ZEC-6' =&gt; array('N'=&gt;'', 'C'=&gt;"Zechariah's Vision of Four Chariots", 'F'=&gt;'Hebrew-OT-129-Zechariahs-Vision-of-Four-Chariots'),</v>
      </c>
    </row>
    <row r="167" spans="1:13" x14ac:dyDescent="0.25">
      <c r="A167" s="7">
        <v>12</v>
      </c>
      <c r="B167" s="4" t="s">
        <v>183</v>
      </c>
      <c r="C167" s="12">
        <v>2.1</v>
      </c>
      <c r="D167" s="5">
        <f>VLOOKUP(E167,Sheet2!A:C,2,FALSE)</f>
        <v>39</v>
      </c>
      <c r="E167" s="4" t="s">
        <v>511</v>
      </c>
      <c r="F167" s="5">
        <v>4</v>
      </c>
      <c r="G167" s="5" t="str">
        <f t="shared" si="6"/>
        <v/>
      </c>
      <c r="H167" s="9"/>
      <c r="I167" s="9"/>
      <c r="J167" s="4" t="str">
        <f t="shared" si="7"/>
        <v>YES</v>
      </c>
      <c r="K167" s="4" t="s">
        <v>184</v>
      </c>
      <c r="L167" s="6" t="s">
        <v>724</v>
      </c>
      <c r="M167" s="6" t="str">
        <f t="shared" si="8"/>
        <v>'MAL-4' =&gt; array('N'=&gt;'', 'C'=&gt;"Elijah Ascends to Heaven in a Chariot of Fire", 'F'=&gt;'Hebrew-OT-102-Elijah-Ascends-to-Heaven-in-a-Chariot-of-Fire'),</v>
      </c>
    </row>
    <row r="168" spans="1:13" x14ac:dyDescent="0.25">
      <c r="A168" s="7">
        <v>1</v>
      </c>
      <c r="B168" s="4" t="s">
        <v>28</v>
      </c>
      <c r="C168" s="12">
        <v>22</v>
      </c>
      <c r="D168" s="5">
        <f>VLOOKUP(E168,Sheet2!A:C,2,FALSE)</f>
        <v>40</v>
      </c>
      <c r="E168" s="4" t="s">
        <v>489</v>
      </c>
      <c r="F168" s="5">
        <v>1</v>
      </c>
      <c r="G168" s="5" t="str">
        <f t="shared" si="6"/>
        <v/>
      </c>
      <c r="H168" s="9"/>
      <c r="I168" s="9">
        <v>6</v>
      </c>
      <c r="J168" s="4" t="str">
        <f t="shared" si="7"/>
        <v>YES</v>
      </c>
      <c r="K168" s="4" t="s">
        <v>29</v>
      </c>
      <c r="L168" s="6" t="s">
        <v>643</v>
      </c>
      <c r="M168" s="6" t="str">
        <f t="shared" si="8"/>
        <v>'MAT-1' =&gt; array('N'=&gt;'6', 'C'=&gt;"The Testing of Abraham's Faith", 'F'=&gt;'Hebrew-OT-016-The-Testing-of-Abrahams-Faith'),</v>
      </c>
    </row>
    <row r="169" spans="1:13" x14ac:dyDescent="0.25">
      <c r="A169" s="7">
        <v>6</v>
      </c>
      <c r="B169" s="4" t="s">
        <v>91</v>
      </c>
      <c r="C169" s="12">
        <v>6.2</v>
      </c>
      <c r="D169" s="5">
        <f>VLOOKUP(E169,Sheet2!A:C,2,FALSE)</f>
        <v>40</v>
      </c>
      <c r="E169" s="4" t="s">
        <v>489</v>
      </c>
      <c r="F169" s="5">
        <v>1</v>
      </c>
      <c r="G169" s="5" t="str">
        <f t="shared" si="6"/>
        <v>MULT</v>
      </c>
      <c r="H169" s="9">
        <v>2</v>
      </c>
      <c r="I169" s="9"/>
      <c r="J169" s="4" t="str">
        <f t="shared" si="7"/>
        <v>YES</v>
      </c>
      <c r="K169" s="4" t="s">
        <v>92</v>
      </c>
      <c r="L169" s="6" t="s">
        <v>675</v>
      </c>
      <c r="M169" s="6" t="str">
        <f t="shared" si="8"/>
        <v>'MAT-1-2' =&gt; array('N'=&gt;'', 'C'=&gt;"Joshua Spares Rahab", 'F'=&gt;'Hebrew-OT-049-Joshua-Spares-Rahab'),</v>
      </c>
    </row>
    <row r="170" spans="1:13" x14ac:dyDescent="0.25">
      <c r="A170" s="7">
        <v>8</v>
      </c>
      <c r="B170" s="4" t="s">
        <v>135</v>
      </c>
      <c r="C170" s="12">
        <v>2</v>
      </c>
      <c r="D170" s="5">
        <f>VLOOKUP(E170,Sheet2!A:C,2,FALSE)</f>
        <v>40</v>
      </c>
      <c r="E170" s="4" t="s">
        <v>489</v>
      </c>
      <c r="F170" s="5">
        <v>1</v>
      </c>
      <c r="G170" s="5" t="str">
        <f t="shared" si="6"/>
        <v>MULT</v>
      </c>
      <c r="H170" s="9">
        <v>3</v>
      </c>
      <c r="I170" s="9"/>
      <c r="J170" s="4" t="str">
        <f t="shared" si="7"/>
        <v>YES</v>
      </c>
      <c r="K170" s="4" t="s">
        <v>136</v>
      </c>
      <c r="L170" s="6" t="s">
        <v>698</v>
      </c>
      <c r="M170" s="6" t="str">
        <f t="shared" si="8"/>
        <v>'MAT-1-3' =&gt; array('N'=&gt;'', 'C'=&gt;"Ruth and Boaz", 'F'=&gt;'Hebrew-OT-071-Ruth-and-Boaz'),</v>
      </c>
    </row>
    <row r="171" spans="1:13" x14ac:dyDescent="0.25">
      <c r="A171" s="7">
        <v>10</v>
      </c>
      <c r="B171" s="4" t="s">
        <v>162</v>
      </c>
      <c r="C171" s="12">
        <v>18.2</v>
      </c>
      <c r="D171" s="5">
        <f>VLOOKUP(E171,Sheet2!A:C,2,FALSE)</f>
        <v>40</v>
      </c>
      <c r="E171" s="4" t="s">
        <v>489</v>
      </c>
      <c r="F171" s="5">
        <v>1</v>
      </c>
      <c r="G171" s="5" t="str">
        <f t="shared" si="6"/>
        <v>MULT</v>
      </c>
      <c r="H171" s="9">
        <v>4</v>
      </c>
      <c r="I171" s="9"/>
      <c r="J171" s="4" t="str">
        <f t="shared" si="7"/>
        <v>YES</v>
      </c>
      <c r="K171" s="4" t="s">
        <v>163</v>
      </c>
      <c r="L171" s="6" t="s">
        <v>712</v>
      </c>
      <c r="M171" s="6" t="str">
        <f t="shared" si="8"/>
        <v>'MAT-1-4' =&gt; array('N'=&gt;'', 'C'=&gt;"David Mourns the Death of Absalom", 'F'=&gt;'Hebrew-OT-086-David-Mourns-the-Death-of-Absalom'),</v>
      </c>
    </row>
    <row r="172" spans="1:13" x14ac:dyDescent="0.25">
      <c r="A172" s="7">
        <v>14</v>
      </c>
      <c r="B172" s="4" t="s">
        <v>204</v>
      </c>
      <c r="C172" s="12">
        <v>10</v>
      </c>
      <c r="D172" s="5">
        <f>VLOOKUP(E172,Sheet2!A:C,2,FALSE)</f>
        <v>40</v>
      </c>
      <c r="E172" s="4" t="s">
        <v>489</v>
      </c>
      <c r="F172" s="5">
        <v>1</v>
      </c>
      <c r="G172" s="5" t="str">
        <f t="shared" si="6"/>
        <v>MULT</v>
      </c>
      <c r="H172" s="9">
        <v>5</v>
      </c>
      <c r="I172" s="9"/>
      <c r="J172" s="4" t="str">
        <f t="shared" si="7"/>
        <v>YES</v>
      </c>
      <c r="K172" s="4" t="s">
        <v>205</v>
      </c>
      <c r="L172" s="6" t="s">
        <v>735</v>
      </c>
      <c r="M172" s="6" t="str">
        <f t="shared" si="8"/>
        <v>'MAT-1-5' =&gt; array('N'=&gt;'', 'C'=&gt;"King Solomon in Old Age", 'F'=&gt;'Hebrew-OT-093-King-Solomon-in-Old-Age'),</v>
      </c>
    </row>
    <row r="173" spans="1:13" x14ac:dyDescent="0.25">
      <c r="A173" s="7">
        <v>42</v>
      </c>
      <c r="B173" s="4" t="s">
        <v>331</v>
      </c>
      <c r="C173" s="12">
        <v>1</v>
      </c>
      <c r="D173" s="5">
        <f>VLOOKUP(E173,Sheet2!A:C,2,FALSE)</f>
        <v>40</v>
      </c>
      <c r="E173" s="4" t="s">
        <v>489</v>
      </c>
      <c r="F173" s="5">
        <v>1</v>
      </c>
      <c r="G173" s="5" t="str">
        <f t="shared" si="6"/>
        <v>MULT</v>
      </c>
      <c r="H173" s="9">
        <v>6</v>
      </c>
      <c r="I173" s="9"/>
      <c r="J173" s="4" t="str">
        <f t="shared" si="7"/>
        <v>YES</v>
      </c>
      <c r="K173" s="4" t="s">
        <v>332</v>
      </c>
      <c r="L173" s="6" t="s">
        <v>767</v>
      </c>
      <c r="M173" s="6" t="str">
        <f t="shared" si="8"/>
        <v>'MAT-1-6' =&gt; array('N'=&gt;'', 'C'=&gt;"The Annunciation", 'F'=&gt;'NT-Gospel-161-The-Annunciation'),</v>
      </c>
    </row>
    <row r="174" spans="1:13" x14ac:dyDescent="0.25">
      <c r="A174" s="7">
        <v>24</v>
      </c>
      <c r="B174" s="4" t="s">
        <v>252</v>
      </c>
      <c r="C174" s="12">
        <v>1</v>
      </c>
      <c r="D174" s="5">
        <f>VLOOKUP(E174,Sheet2!A:C,2,FALSE)</f>
        <v>40</v>
      </c>
      <c r="E174" s="4" t="s">
        <v>489</v>
      </c>
      <c r="F174" s="5">
        <v>2</v>
      </c>
      <c r="G174" s="5" t="str">
        <f t="shared" si="6"/>
        <v/>
      </c>
      <c r="H174" s="9"/>
      <c r="I174" s="9">
        <v>5</v>
      </c>
      <c r="J174" s="4" t="str">
        <f t="shared" si="7"/>
        <v>YES</v>
      </c>
      <c r="K174" s="4" t="s">
        <v>253</v>
      </c>
      <c r="L174" s="6" t="s">
        <v>752</v>
      </c>
      <c r="M174" s="6" t="str">
        <f t="shared" si="8"/>
        <v>'MAT-2' =&gt; array('N'=&gt;'5', 'C'=&gt;"The Prophet Jeremiah", 'F'=&gt;'Hebrew-OT-114-The-Prophet-Jeremiah'),</v>
      </c>
    </row>
    <row r="175" spans="1:13" x14ac:dyDescent="0.25">
      <c r="A175" s="7">
        <v>42</v>
      </c>
      <c r="B175" s="4" t="s">
        <v>333</v>
      </c>
      <c r="C175" s="12">
        <v>2.1</v>
      </c>
      <c r="D175" s="5">
        <f>VLOOKUP(E175,Sheet2!A:C,2,FALSE)</f>
        <v>40</v>
      </c>
      <c r="E175" s="4" t="s">
        <v>489</v>
      </c>
      <c r="F175" s="5">
        <v>2</v>
      </c>
      <c r="G175" s="5" t="str">
        <f t="shared" si="6"/>
        <v>MULT</v>
      </c>
      <c r="H175" s="9">
        <v>2</v>
      </c>
      <c r="I175" s="9"/>
      <c r="J175" s="4" t="str">
        <f t="shared" si="7"/>
        <v>YES</v>
      </c>
      <c r="K175" s="4" t="s">
        <v>334</v>
      </c>
      <c r="L175" s="6" t="s">
        <v>768</v>
      </c>
      <c r="M175" s="6" t="str">
        <f t="shared" si="8"/>
        <v>'MAT-2-2' =&gt; array('N'=&gt;'', 'C'=&gt;"The Birth of Jesus", 'F'=&gt;'NT-Gospel-162-The-Birth-of-Jesus'),</v>
      </c>
    </row>
    <row r="176" spans="1:13" x14ac:dyDescent="0.25">
      <c r="A176" s="7">
        <v>40</v>
      </c>
      <c r="B176" s="4" t="s">
        <v>283</v>
      </c>
      <c r="C176" s="12">
        <v>2.1</v>
      </c>
      <c r="D176" s="5">
        <f>VLOOKUP(E176,Sheet2!A:C,2,FALSE)</f>
        <v>40</v>
      </c>
      <c r="E176" s="4" t="s">
        <v>489</v>
      </c>
      <c r="F176" s="5">
        <v>2</v>
      </c>
      <c r="G176" s="5" t="str">
        <f t="shared" si="6"/>
        <v>MULT</v>
      </c>
      <c r="H176" s="9">
        <v>3</v>
      </c>
      <c r="I176" s="9"/>
      <c r="J176" s="4" t="str">
        <f t="shared" si="7"/>
        <v/>
      </c>
      <c r="K176" s="4" t="s">
        <v>284</v>
      </c>
      <c r="L176" s="6" t="s">
        <v>769</v>
      </c>
      <c r="M176" s="6" t="str">
        <f t="shared" si="8"/>
        <v>'MAT-2-3' =&gt; array('N'=&gt;'', 'C'=&gt;"Wise Men Are Guided by a Star", 'F'=&gt;'NT-Gospel-163-Wise-Men-Are-Guided-by-a-Star'),</v>
      </c>
    </row>
    <row r="177" spans="1:13" x14ac:dyDescent="0.25">
      <c r="A177" s="7">
        <v>40</v>
      </c>
      <c r="B177" s="4" t="s">
        <v>285</v>
      </c>
      <c r="C177" s="12">
        <v>2.2000000000000002</v>
      </c>
      <c r="D177" s="5">
        <f>VLOOKUP(E177,Sheet2!A:C,2,FALSE)</f>
        <v>40</v>
      </c>
      <c r="E177" s="4" t="s">
        <v>489</v>
      </c>
      <c r="F177" s="5">
        <v>2</v>
      </c>
      <c r="G177" s="5" t="str">
        <f t="shared" si="6"/>
        <v>MULT</v>
      </c>
      <c r="H177" s="9">
        <v>4</v>
      </c>
      <c r="I177" s="9"/>
      <c r="J177" s="4" t="str">
        <f t="shared" si="7"/>
        <v/>
      </c>
      <c r="K177" s="4" t="s">
        <v>286</v>
      </c>
      <c r="L177" s="6" t="s">
        <v>770</v>
      </c>
      <c r="M177" s="6" t="str">
        <f t="shared" si="8"/>
        <v>'MAT-2-4' =&gt; array('N'=&gt;'', 'C'=&gt;"Joseph Leads Mary and Jesus into Egypt", 'F'=&gt;'NT-Gospel-164-Joseph-Leads-Mary-and-Jesus-into-Egypt'),</v>
      </c>
    </row>
    <row r="178" spans="1:13" x14ac:dyDescent="0.25">
      <c r="A178" s="7">
        <v>40</v>
      </c>
      <c r="B178" s="4" t="s">
        <v>287</v>
      </c>
      <c r="C178" s="12">
        <v>2.2999999999999998</v>
      </c>
      <c r="D178" s="5">
        <f>VLOOKUP(E178,Sheet2!A:C,2,FALSE)</f>
        <v>40</v>
      </c>
      <c r="E178" s="4" t="s">
        <v>489</v>
      </c>
      <c r="F178" s="5">
        <v>2</v>
      </c>
      <c r="G178" s="5" t="str">
        <f t="shared" si="6"/>
        <v>MULT</v>
      </c>
      <c r="H178" s="9">
        <v>5</v>
      </c>
      <c r="I178" s="9"/>
      <c r="J178" s="4" t="str">
        <f t="shared" si="7"/>
        <v/>
      </c>
      <c r="K178" s="4" t="s">
        <v>288</v>
      </c>
      <c r="L178" s="6" t="s">
        <v>771</v>
      </c>
      <c r="M178" s="6" t="str">
        <f t="shared" si="8"/>
        <v>'MAT-2-5' =&gt; array('N'=&gt;'', 'C'=&gt;"The Children of Bethlehem Are Massacred", 'F'=&gt;'NT-Gospel-165-The-Children-of-Bethlehem-Are-Massacred'),</v>
      </c>
    </row>
    <row r="179" spans="1:13" x14ac:dyDescent="0.25">
      <c r="A179" s="7">
        <v>41</v>
      </c>
      <c r="B179" s="4" t="s">
        <v>312</v>
      </c>
      <c r="C179" s="12">
        <v>1.1000000000000001</v>
      </c>
      <c r="D179" s="5">
        <f>VLOOKUP(E179,Sheet2!A:C,2,FALSE)</f>
        <v>40</v>
      </c>
      <c r="E179" s="4" t="s">
        <v>489</v>
      </c>
      <c r="F179" s="5">
        <v>3</v>
      </c>
      <c r="G179" s="5" t="str">
        <f t="shared" si="6"/>
        <v/>
      </c>
      <c r="H179" s="9"/>
      <c r="I179" s="9">
        <v>2</v>
      </c>
      <c r="J179" s="4" t="str">
        <f t="shared" si="7"/>
        <v>YES</v>
      </c>
      <c r="K179" s="4" t="s">
        <v>313</v>
      </c>
      <c r="L179" s="6" t="s">
        <v>772</v>
      </c>
      <c r="M179" s="6" t="str">
        <f t="shared" si="8"/>
        <v>'MAT-3' =&gt; array('N'=&gt;'2', 'C'=&gt;"John the Baptist Preaches in the Wilderness", 'F'=&gt;'NT-Gospel-167-John-the-Baptist-Preaches-in-the-Wilderness'),</v>
      </c>
    </row>
    <row r="180" spans="1:13" x14ac:dyDescent="0.25">
      <c r="A180" s="7">
        <v>43</v>
      </c>
      <c r="B180" s="4" t="s">
        <v>376</v>
      </c>
      <c r="C180" s="12">
        <v>1</v>
      </c>
      <c r="D180" s="5">
        <f>VLOOKUP(E180,Sheet2!A:C,2,FALSE)</f>
        <v>40</v>
      </c>
      <c r="E180" s="4" t="s">
        <v>489</v>
      </c>
      <c r="F180" s="5">
        <v>3</v>
      </c>
      <c r="G180" s="5" t="str">
        <f t="shared" si="6"/>
        <v>MULT</v>
      </c>
      <c r="H180" s="9">
        <v>2</v>
      </c>
      <c r="I180" s="9"/>
      <c r="J180" s="4" t="str">
        <f t="shared" si="7"/>
        <v>YES</v>
      </c>
      <c r="K180" s="4" t="s">
        <v>377</v>
      </c>
      <c r="L180" s="6" t="s">
        <v>773</v>
      </c>
      <c r="M180" s="6" t="str">
        <f t="shared" si="8"/>
        <v>'MAT-3-2' =&gt; array('N'=&gt;'', 'C'=&gt;"The Baptism of Jesus", 'F'=&gt;'NT-Gospel-168-The-Baptism-of-Jesus'),</v>
      </c>
    </row>
    <row r="181" spans="1:13" x14ac:dyDescent="0.25">
      <c r="A181" s="7">
        <v>42</v>
      </c>
      <c r="B181" s="4" t="s">
        <v>337</v>
      </c>
      <c r="C181" s="12">
        <v>4.0999999999999996</v>
      </c>
      <c r="D181" s="5">
        <f>VLOOKUP(E181,Sheet2!A:C,2,FALSE)</f>
        <v>40</v>
      </c>
      <c r="E181" s="4" t="s">
        <v>489</v>
      </c>
      <c r="F181" s="5">
        <v>4</v>
      </c>
      <c r="G181" s="5" t="str">
        <f t="shared" si="6"/>
        <v/>
      </c>
      <c r="H181" s="9"/>
      <c r="I181" s="9">
        <v>5</v>
      </c>
      <c r="J181" s="4" t="str">
        <f t="shared" si="7"/>
        <v>YES</v>
      </c>
      <c r="K181" s="4" t="s">
        <v>338</v>
      </c>
      <c r="L181" s="6" t="s">
        <v>774</v>
      </c>
      <c r="M181" s="6" t="str">
        <f t="shared" si="8"/>
        <v>'MAT-4' =&gt; array('N'=&gt;'5', 'C'=&gt;"The Temptation of Jesus", 'F'=&gt;'NT-Gospel-169-The-Temptation-of-Jesus'),</v>
      </c>
    </row>
    <row r="182" spans="1:13" x14ac:dyDescent="0.25">
      <c r="A182" s="7">
        <v>41</v>
      </c>
      <c r="B182" s="4" t="s">
        <v>314</v>
      </c>
      <c r="C182" s="12">
        <v>1.2</v>
      </c>
      <c r="D182" s="17">
        <f>VLOOKUP(E182,Sheet2!A:C,2,FALSE)</f>
        <v>40</v>
      </c>
      <c r="E182" s="15" t="s">
        <v>489</v>
      </c>
      <c r="F182" s="17">
        <v>4</v>
      </c>
      <c r="G182" s="5" t="str">
        <f t="shared" si="6"/>
        <v>MULT</v>
      </c>
      <c r="H182" s="9">
        <v>2</v>
      </c>
      <c r="I182" s="9"/>
      <c r="J182" s="4" t="str">
        <f t="shared" si="7"/>
        <v>YES</v>
      </c>
      <c r="K182" s="4" t="s">
        <v>315</v>
      </c>
      <c r="L182" s="6" t="s">
        <v>775</v>
      </c>
      <c r="M182" s="6" t="str">
        <f t="shared" si="8"/>
        <v>'MAT-4-2' =&gt; array('N'=&gt;'', 'C'=&gt;"Jesus Preaches in the Synagogue", 'F'=&gt;'NT-Gospel-172-Jesus-Preaches-in-the-Synagogue'),</v>
      </c>
    </row>
    <row r="183" spans="1:13" x14ac:dyDescent="0.25">
      <c r="A183" s="7">
        <v>42</v>
      </c>
      <c r="B183" s="4" t="s">
        <v>339</v>
      </c>
      <c r="C183" s="12">
        <v>4.2</v>
      </c>
      <c r="D183" s="5">
        <f>VLOOKUP(E183,Sheet2!A:C,2,FALSE)</f>
        <v>40</v>
      </c>
      <c r="E183" s="4" t="s">
        <v>489</v>
      </c>
      <c r="F183" s="5">
        <v>4</v>
      </c>
      <c r="G183" s="5" t="str">
        <f t="shared" si="6"/>
        <v>MULT</v>
      </c>
      <c r="H183" s="9">
        <v>3</v>
      </c>
      <c r="I183" s="9"/>
      <c r="J183" s="4" t="str">
        <f t="shared" si="7"/>
        <v>YES</v>
      </c>
      <c r="K183" s="4" t="s">
        <v>340</v>
      </c>
      <c r="L183" s="6" t="s">
        <v>776</v>
      </c>
      <c r="M183" s="6" t="str">
        <f t="shared" si="8"/>
        <v>'MAT-4-3' =&gt; array('N'=&gt;'', 'C'=&gt;"Jesus Heals a Demoniac", 'F'=&gt;'NT-Gospel-173-Jesus-Heals-a-Demoniac'),</v>
      </c>
    </row>
    <row r="184" spans="1:13" x14ac:dyDescent="0.25">
      <c r="A184" s="14">
        <v>42</v>
      </c>
      <c r="B184" s="15" t="s">
        <v>353</v>
      </c>
      <c r="C184" s="16">
        <v>12</v>
      </c>
      <c r="D184" s="17">
        <f>VLOOKUP(E184,Sheet2!A:C,2,FALSE)</f>
        <v>40</v>
      </c>
      <c r="E184" s="15" t="s">
        <v>489</v>
      </c>
      <c r="F184" s="17">
        <v>4</v>
      </c>
      <c r="G184" s="5" t="str">
        <f t="shared" si="6"/>
        <v>MULT</v>
      </c>
      <c r="H184" s="9">
        <v>4</v>
      </c>
      <c r="I184" s="9"/>
      <c r="J184" s="4" t="str">
        <f t="shared" si="7"/>
        <v>YES</v>
      </c>
      <c r="K184" s="15" t="s">
        <v>354</v>
      </c>
      <c r="L184" s="18" t="s">
        <v>777</v>
      </c>
      <c r="M184" s="6" t="str">
        <f t="shared" si="8"/>
        <v>'MAT-4-4' =&gt; array('N'=&gt;'', 'C'=&gt;"Jesus Preaches to the Multitude", 'F'=&gt;'NT-Gospel-183-Jesus-Preaches-to-the-Multitude'),</v>
      </c>
    </row>
    <row r="185" spans="1:13" x14ac:dyDescent="0.25">
      <c r="A185" s="7">
        <v>40</v>
      </c>
      <c r="B185" s="4" t="s">
        <v>296</v>
      </c>
      <c r="C185" s="12">
        <v>15</v>
      </c>
      <c r="D185" s="5">
        <f>VLOOKUP(E185,Sheet2!A:C,2,FALSE)</f>
        <v>40</v>
      </c>
      <c r="E185" s="4" t="s">
        <v>489</v>
      </c>
      <c r="F185" s="5">
        <v>4</v>
      </c>
      <c r="G185" s="5" t="str">
        <f t="shared" si="6"/>
        <v>MULT</v>
      </c>
      <c r="H185" s="9">
        <v>5</v>
      </c>
      <c r="I185" s="9"/>
      <c r="J185" s="4" t="str">
        <f t="shared" si="7"/>
        <v>YES</v>
      </c>
      <c r="K185" s="4" t="s">
        <v>297</v>
      </c>
      <c r="L185" s="6" t="s">
        <v>778</v>
      </c>
      <c r="M185" s="6" t="str">
        <f t="shared" si="8"/>
        <v>'MAT-4-5' =&gt; array('N'=&gt;'', 'C'=&gt;"Jesus Heals the Sick", 'F'=&gt;'NT-Gospel-186-Jesus-Heals-the-Sick'),</v>
      </c>
    </row>
    <row r="186" spans="1:13" x14ac:dyDescent="0.25">
      <c r="A186" s="7">
        <v>40</v>
      </c>
      <c r="B186" s="4" t="s">
        <v>289</v>
      </c>
      <c r="C186" s="12">
        <v>6</v>
      </c>
      <c r="D186" s="5">
        <f>VLOOKUP(E186,Sheet2!A:C,2,FALSE)</f>
        <v>40</v>
      </c>
      <c r="E186" s="4" t="s">
        <v>489</v>
      </c>
      <c r="F186" s="5">
        <v>5</v>
      </c>
      <c r="G186" s="5" t="str">
        <f t="shared" si="6"/>
        <v/>
      </c>
      <c r="H186" s="9"/>
      <c r="I186" s="9"/>
      <c r="J186" s="4" t="str">
        <f t="shared" si="7"/>
        <v>YES</v>
      </c>
      <c r="K186" s="4" t="s">
        <v>290</v>
      </c>
      <c r="L186" s="6" t="s">
        <v>779</v>
      </c>
      <c r="M186" s="6" t="str">
        <f t="shared" si="8"/>
        <v>'MAT-5' =&gt; array('N'=&gt;'', 'C'=&gt;"The Sermon on the Mount", 'F'=&gt;'NT-Gospel-175-The-Sermon-on-the-Mount'),</v>
      </c>
    </row>
    <row r="187" spans="1:13" x14ac:dyDescent="0.25">
      <c r="A187" s="7">
        <v>14</v>
      </c>
      <c r="B187" s="4" t="s">
        <v>202</v>
      </c>
      <c r="C187" s="12">
        <v>9</v>
      </c>
      <c r="D187" s="5">
        <f>VLOOKUP(E187,Sheet2!A:C,2,FALSE)</f>
        <v>40</v>
      </c>
      <c r="E187" s="4" t="s">
        <v>489</v>
      </c>
      <c r="F187" s="5">
        <v>6</v>
      </c>
      <c r="G187" s="5" t="str">
        <f t="shared" si="6"/>
        <v/>
      </c>
      <c r="H187" s="9"/>
      <c r="I187" s="9">
        <v>2</v>
      </c>
      <c r="J187" s="4" t="str">
        <f t="shared" si="7"/>
        <v>YES</v>
      </c>
      <c r="K187" s="4" t="s">
        <v>203</v>
      </c>
      <c r="L187" s="6" t="s">
        <v>734</v>
      </c>
      <c r="M187" s="6" t="str">
        <f t="shared" si="8"/>
        <v>'MAT-6' =&gt; array('N'=&gt;'2', 'C'=&gt;"Solomon Receives the Queen of Sheba", 'F'=&gt;'Hebrew-OT-092-Solomon-Receives-the-Queen-of-Sheba'),</v>
      </c>
    </row>
    <row r="188" spans="1:13" x14ac:dyDescent="0.25">
      <c r="A188" s="7">
        <v>40</v>
      </c>
      <c r="B188" s="4" t="s">
        <v>289</v>
      </c>
      <c r="C188" s="12">
        <v>6</v>
      </c>
      <c r="D188" s="5">
        <f>VLOOKUP(E188,Sheet2!A:C,2,FALSE)</f>
        <v>40</v>
      </c>
      <c r="E188" s="4" t="s">
        <v>489</v>
      </c>
      <c r="F188" s="5">
        <v>6</v>
      </c>
      <c r="G188" s="5" t="str">
        <f t="shared" si="6"/>
        <v>MULT</v>
      </c>
      <c r="H188" s="9">
        <v>2</v>
      </c>
      <c r="I188" s="9"/>
      <c r="J188" s="4" t="str">
        <f t="shared" si="7"/>
        <v/>
      </c>
      <c r="K188" s="4" t="s">
        <v>290</v>
      </c>
      <c r="L188" s="6" t="s">
        <v>779</v>
      </c>
      <c r="M188" s="6" t="str">
        <f t="shared" si="8"/>
        <v>'MAT-6-2' =&gt; array('N'=&gt;'', 'C'=&gt;"The Sermon on the Mount", 'F'=&gt;'NT-Gospel-175-The-Sermon-on-the-Mount'),</v>
      </c>
    </row>
    <row r="189" spans="1:13" x14ac:dyDescent="0.25">
      <c r="A189" s="7">
        <v>40</v>
      </c>
      <c r="B189" s="4" t="s">
        <v>289</v>
      </c>
      <c r="C189" s="12">
        <v>6</v>
      </c>
      <c r="D189" s="5">
        <f>VLOOKUP(E189,Sheet2!A:C,2,FALSE)</f>
        <v>40</v>
      </c>
      <c r="E189" s="4" t="s">
        <v>489</v>
      </c>
      <c r="F189" s="5">
        <v>7</v>
      </c>
      <c r="G189" s="5" t="str">
        <f t="shared" si="6"/>
        <v/>
      </c>
      <c r="H189" s="9"/>
      <c r="I189" s="9"/>
      <c r="J189" s="4" t="str">
        <f t="shared" si="7"/>
        <v>YES</v>
      </c>
      <c r="K189" s="4" t="s">
        <v>290</v>
      </c>
      <c r="L189" s="6" t="s">
        <v>779</v>
      </c>
      <c r="M189" s="6" t="str">
        <f t="shared" si="8"/>
        <v>'MAT-7' =&gt; array('N'=&gt;'', 'C'=&gt;"The Sermon on the Mount", 'F'=&gt;'NT-Gospel-175-The-Sermon-on-the-Mount'),</v>
      </c>
    </row>
    <row r="190" spans="1:13" x14ac:dyDescent="0.25">
      <c r="A190" s="7">
        <v>42</v>
      </c>
      <c r="B190" s="4" t="s">
        <v>339</v>
      </c>
      <c r="C190" s="12">
        <v>4.2</v>
      </c>
      <c r="D190" s="5">
        <f>VLOOKUP(E190,Sheet2!A:C,2,FALSE)</f>
        <v>40</v>
      </c>
      <c r="E190" s="4" t="s">
        <v>489</v>
      </c>
      <c r="F190" s="5">
        <v>8</v>
      </c>
      <c r="G190" s="5" t="str">
        <f t="shared" si="6"/>
        <v/>
      </c>
      <c r="H190" s="9"/>
      <c r="I190" s="9">
        <v>3</v>
      </c>
      <c r="J190" s="4" t="str">
        <f t="shared" si="7"/>
        <v>YES</v>
      </c>
      <c r="K190" s="4" t="s">
        <v>340</v>
      </c>
      <c r="L190" s="6" t="s">
        <v>776</v>
      </c>
      <c r="M190" s="6" t="str">
        <f t="shared" si="8"/>
        <v>'MAT-8' =&gt; array('N'=&gt;'3', 'C'=&gt;"Jesus Heals a Demoniac", 'F'=&gt;'NT-Gospel-173-Jesus-Heals-a-Demoniac'),</v>
      </c>
    </row>
    <row r="191" spans="1:13" x14ac:dyDescent="0.25">
      <c r="A191" s="7">
        <v>41</v>
      </c>
      <c r="B191" s="4" t="s">
        <v>318</v>
      </c>
      <c r="C191" s="12">
        <v>4</v>
      </c>
      <c r="D191" s="5">
        <f>VLOOKUP(E191,Sheet2!A:C,2,FALSE)</f>
        <v>40</v>
      </c>
      <c r="E191" s="4" t="s">
        <v>489</v>
      </c>
      <c r="F191" s="5">
        <v>8</v>
      </c>
      <c r="G191" s="5" t="str">
        <f t="shared" si="6"/>
        <v>MULT</v>
      </c>
      <c r="H191" s="9">
        <v>2</v>
      </c>
      <c r="I191" s="9"/>
      <c r="J191" s="4" t="str">
        <f t="shared" si="7"/>
        <v>YES</v>
      </c>
      <c r="K191" s="4" t="s">
        <v>463</v>
      </c>
      <c r="L191" s="6" t="s">
        <v>780</v>
      </c>
      <c r="M191" s="6" t="str">
        <f t="shared" si="8"/>
        <v>'MAT-8-2' =&gt; array('N'=&gt;'', 'C'=&gt;"Jesus Stills the Storm", 'F'=&gt;'NT-Gospel-179-Jesus-Stills-the-Storm'),</v>
      </c>
    </row>
    <row r="192" spans="1:13" x14ac:dyDescent="0.25">
      <c r="A192" s="7">
        <v>40</v>
      </c>
      <c r="B192" s="4" t="s">
        <v>296</v>
      </c>
      <c r="C192" s="12">
        <v>15</v>
      </c>
      <c r="D192" s="5">
        <f>VLOOKUP(E192,Sheet2!A:C,2,FALSE)</f>
        <v>40</v>
      </c>
      <c r="E192" s="4" t="s">
        <v>489</v>
      </c>
      <c r="F192" s="5">
        <v>8</v>
      </c>
      <c r="G192" s="5" t="str">
        <f t="shared" si="6"/>
        <v>MULT</v>
      </c>
      <c r="H192" s="9">
        <v>3</v>
      </c>
      <c r="I192" s="9"/>
      <c r="J192" s="4" t="str">
        <f t="shared" si="7"/>
        <v>YES</v>
      </c>
      <c r="K192" s="4" t="s">
        <v>297</v>
      </c>
      <c r="L192" s="6" t="s">
        <v>778</v>
      </c>
      <c r="M192" s="6" t="str">
        <f t="shared" si="8"/>
        <v>'MAT-8-3' =&gt; array('N'=&gt;'', 'C'=&gt;"Jesus Heals the Sick", 'F'=&gt;'NT-Gospel-186-Jesus-Heals-the-Sick'),</v>
      </c>
    </row>
    <row r="193" spans="1:13" x14ac:dyDescent="0.25">
      <c r="A193" s="7">
        <v>41</v>
      </c>
      <c r="B193" s="4" t="s">
        <v>314</v>
      </c>
      <c r="C193" s="12">
        <v>1.2</v>
      </c>
      <c r="D193" s="17">
        <f>VLOOKUP(E193,Sheet2!A:C,2,FALSE)</f>
        <v>40</v>
      </c>
      <c r="E193" s="15" t="s">
        <v>489</v>
      </c>
      <c r="F193" s="17">
        <v>9</v>
      </c>
      <c r="G193" s="5" t="str">
        <f t="shared" si="6"/>
        <v/>
      </c>
      <c r="H193" s="9"/>
      <c r="I193" s="9">
        <v>4</v>
      </c>
      <c r="J193" s="4" t="str">
        <f t="shared" si="7"/>
        <v>YES</v>
      </c>
      <c r="K193" s="4" t="s">
        <v>315</v>
      </c>
      <c r="L193" s="6" t="s">
        <v>775</v>
      </c>
      <c r="M193" s="6" t="str">
        <f t="shared" si="8"/>
        <v>'MAT-9' =&gt; array('N'=&gt;'4', 'C'=&gt;"Jesus Preaches in the Synagogue", 'F'=&gt;'NT-Gospel-172-Jesus-Preaches-in-the-Synagogue'),</v>
      </c>
    </row>
    <row r="194" spans="1:13" x14ac:dyDescent="0.25">
      <c r="A194" s="7">
        <v>42</v>
      </c>
      <c r="B194" s="4" t="s">
        <v>339</v>
      </c>
      <c r="C194" s="12">
        <v>4.2</v>
      </c>
      <c r="D194" s="5">
        <f>VLOOKUP(E194,Sheet2!A:C,2,FALSE)</f>
        <v>40</v>
      </c>
      <c r="E194" s="4" t="s">
        <v>489</v>
      </c>
      <c r="F194" s="5">
        <v>9</v>
      </c>
      <c r="G194" s="5" t="str">
        <f t="shared" si="6"/>
        <v>MULT</v>
      </c>
      <c r="H194" s="9">
        <v>2</v>
      </c>
      <c r="I194" s="9"/>
      <c r="J194" s="4" t="str">
        <f t="shared" si="7"/>
        <v>YES</v>
      </c>
      <c r="K194" s="4" t="s">
        <v>340</v>
      </c>
      <c r="L194" s="6" t="s">
        <v>776</v>
      </c>
      <c r="M194" s="6" t="str">
        <f t="shared" si="8"/>
        <v>'MAT-9-2' =&gt; array('N'=&gt;'', 'C'=&gt;"Jesus Heals a Demoniac", 'F'=&gt;'NT-Gospel-173-Jesus-Heals-a-Demoniac'),</v>
      </c>
    </row>
    <row r="195" spans="1:13" x14ac:dyDescent="0.25">
      <c r="A195" s="14">
        <v>42</v>
      </c>
      <c r="B195" s="15" t="s">
        <v>353</v>
      </c>
      <c r="C195" s="16">
        <v>12</v>
      </c>
      <c r="D195" s="17">
        <f>VLOOKUP(E195,Sheet2!A:C,2,FALSE)</f>
        <v>40</v>
      </c>
      <c r="E195" s="15" t="s">
        <v>489</v>
      </c>
      <c r="F195" s="17">
        <v>9</v>
      </c>
      <c r="G195" s="5" t="str">
        <f t="shared" ref="G195:G258" si="9">IF(E195&lt;&gt;E194,"",IF(F195&lt;&gt;F194,"","MULT"))</f>
        <v>MULT</v>
      </c>
      <c r="H195" s="9">
        <v>3</v>
      </c>
      <c r="I195" s="9"/>
      <c r="J195" s="4" t="str">
        <f t="shared" ref="J195:J258" si="10">IF(A195&lt;&gt;D195,"YES",IF(INT(C195)&lt;&gt;F195,"YES",""))</f>
        <v>YES</v>
      </c>
      <c r="K195" s="15" t="s">
        <v>354</v>
      </c>
      <c r="L195" s="18" t="s">
        <v>777</v>
      </c>
      <c r="M195" s="6" t="str">
        <f t="shared" ref="M195:M258" si="11">"'"&amp;E195&amp;"-"&amp;F195&amp;IF(H195="","","-")&amp;H195&amp;"' =&gt; array('N'=&gt;'"&amp;I195&amp;"', 'C'=&gt;"""&amp;K195&amp;""", 'F'=&gt;'"&amp;L195&amp;"'),"</f>
        <v>'MAT-9-3' =&gt; array('N'=&gt;'', 'C'=&gt;"Jesus Preaches to the Multitude", 'F'=&gt;'NT-Gospel-183-Jesus-Preaches-to-the-Multitude'),</v>
      </c>
    </row>
    <row r="196" spans="1:13" x14ac:dyDescent="0.25">
      <c r="A196" s="7">
        <v>40</v>
      </c>
      <c r="B196" s="4" t="s">
        <v>296</v>
      </c>
      <c r="C196" s="12">
        <v>15</v>
      </c>
      <c r="D196" s="5">
        <f>VLOOKUP(E196,Sheet2!A:C,2,FALSE)</f>
        <v>40</v>
      </c>
      <c r="E196" s="4" t="s">
        <v>489</v>
      </c>
      <c r="F196" s="5">
        <v>9</v>
      </c>
      <c r="G196" s="5" t="str">
        <f t="shared" si="9"/>
        <v>MULT</v>
      </c>
      <c r="H196" s="9">
        <v>4</v>
      </c>
      <c r="I196" s="9"/>
      <c r="J196" s="4" t="str">
        <f t="shared" si="10"/>
        <v>YES</v>
      </c>
      <c r="K196" s="4" t="s">
        <v>297</v>
      </c>
      <c r="L196" s="6" t="s">
        <v>778</v>
      </c>
      <c r="M196" s="6" t="str">
        <f t="shared" si="11"/>
        <v>'MAT-9-4' =&gt; array('N'=&gt;'', 'C'=&gt;"Jesus Heals the Sick", 'F'=&gt;'NT-Gospel-186-Jesus-Heals-the-Sick'),</v>
      </c>
    </row>
    <row r="197" spans="1:13" x14ac:dyDescent="0.25">
      <c r="A197" s="7">
        <v>40</v>
      </c>
      <c r="B197" s="4" t="s">
        <v>296</v>
      </c>
      <c r="C197" s="12">
        <v>15</v>
      </c>
      <c r="D197" s="5">
        <f>VLOOKUP(E197,Sheet2!A:C,2,FALSE)</f>
        <v>40</v>
      </c>
      <c r="E197" s="4" t="s">
        <v>489</v>
      </c>
      <c r="F197" s="5">
        <v>10</v>
      </c>
      <c r="G197" s="5" t="str">
        <f t="shared" si="9"/>
        <v/>
      </c>
      <c r="H197" s="9"/>
      <c r="I197" s="9"/>
      <c r="J197" s="4" t="str">
        <f t="shared" si="10"/>
        <v>YES</v>
      </c>
      <c r="K197" s="4" t="s">
        <v>297</v>
      </c>
      <c r="L197" s="6" t="s">
        <v>778</v>
      </c>
      <c r="M197" s="6" t="str">
        <f t="shared" si="11"/>
        <v>'MAT-10' =&gt; array('N'=&gt;'', 'C'=&gt;"Jesus Heals the Sick", 'F'=&gt;'NT-Gospel-186-Jesus-Heals-the-Sick'),</v>
      </c>
    </row>
    <row r="198" spans="1:13" x14ac:dyDescent="0.25">
      <c r="A198" s="7">
        <v>41</v>
      </c>
      <c r="B198" s="4" t="s">
        <v>314</v>
      </c>
      <c r="C198" s="12">
        <v>1.2</v>
      </c>
      <c r="D198" s="17">
        <f>VLOOKUP(E198,Sheet2!A:C,2,FALSE)</f>
        <v>40</v>
      </c>
      <c r="E198" s="15" t="s">
        <v>489</v>
      </c>
      <c r="F198" s="17">
        <v>11</v>
      </c>
      <c r="G198" s="5" t="str">
        <f t="shared" si="9"/>
        <v/>
      </c>
      <c r="H198" s="9"/>
      <c r="I198" s="9">
        <v>2</v>
      </c>
      <c r="J198" s="4" t="str">
        <f t="shared" si="10"/>
        <v>YES</v>
      </c>
      <c r="K198" s="4" t="s">
        <v>315</v>
      </c>
      <c r="L198" s="6" t="s">
        <v>775</v>
      </c>
      <c r="M198" s="6" t="str">
        <f t="shared" si="11"/>
        <v>'MAT-11' =&gt; array('N'=&gt;'2', 'C'=&gt;"Jesus Preaches in the Synagogue", 'F'=&gt;'NT-Gospel-172-Jesus-Preaches-in-the-Synagogue'),</v>
      </c>
    </row>
    <row r="199" spans="1:13" x14ac:dyDescent="0.25">
      <c r="A199" s="14">
        <v>42</v>
      </c>
      <c r="B199" s="15" t="s">
        <v>353</v>
      </c>
      <c r="C199" s="16">
        <v>12</v>
      </c>
      <c r="D199" s="17">
        <f>VLOOKUP(E199,Sheet2!A:C,2,FALSE)</f>
        <v>40</v>
      </c>
      <c r="E199" s="15" t="s">
        <v>489</v>
      </c>
      <c r="F199" s="17">
        <v>11</v>
      </c>
      <c r="G199" s="5" t="str">
        <f t="shared" si="9"/>
        <v>MULT</v>
      </c>
      <c r="H199" s="9">
        <v>2</v>
      </c>
      <c r="I199" s="9"/>
      <c r="J199" s="4" t="str">
        <f t="shared" si="10"/>
        <v>YES</v>
      </c>
      <c r="K199" s="15" t="s">
        <v>354</v>
      </c>
      <c r="L199" s="18" t="s">
        <v>777</v>
      </c>
      <c r="M199" s="6" t="str">
        <f t="shared" si="11"/>
        <v>'MAT-11-2' =&gt; array('N'=&gt;'', 'C'=&gt;"Jesus Preaches to the Multitude", 'F'=&gt;'NT-Gospel-183-Jesus-Preaches-to-the-Multitude'),</v>
      </c>
    </row>
    <row r="200" spans="1:13" x14ac:dyDescent="0.25">
      <c r="A200" s="7">
        <v>14</v>
      </c>
      <c r="B200" s="4" t="s">
        <v>202</v>
      </c>
      <c r="C200" s="12">
        <v>9</v>
      </c>
      <c r="D200" s="5">
        <f>VLOOKUP(E200,Sheet2!A:C,2,FALSE)</f>
        <v>40</v>
      </c>
      <c r="E200" s="4" t="s">
        <v>489</v>
      </c>
      <c r="F200" s="5">
        <v>12</v>
      </c>
      <c r="G200" s="5" t="str">
        <f t="shared" si="9"/>
        <v/>
      </c>
      <c r="H200" s="9"/>
      <c r="I200" s="9">
        <v>7</v>
      </c>
      <c r="J200" s="4" t="str">
        <f t="shared" si="10"/>
        <v>YES</v>
      </c>
      <c r="K200" s="4" t="s">
        <v>203</v>
      </c>
      <c r="L200" s="6" t="s">
        <v>734</v>
      </c>
      <c r="M200" s="6" t="str">
        <f t="shared" si="11"/>
        <v>'MAT-12' =&gt; array('N'=&gt;'7', 'C'=&gt;"Solomon Receives the Queen of Sheba", 'F'=&gt;'Hebrew-OT-092-Solomon-Receives-the-Queen-of-Sheba'),</v>
      </c>
    </row>
    <row r="201" spans="1:13" x14ac:dyDescent="0.25">
      <c r="A201" s="7">
        <v>32</v>
      </c>
      <c r="B201" s="4" t="s">
        <v>276</v>
      </c>
      <c r="C201" s="12">
        <v>2</v>
      </c>
      <c r="D201" s="5">
        <f>VLOOKUP(E201,Sheet2!A:C,2,FALSE)</f>
        <v>40</v>
      </c>
      <c r="E201" s="4" t="s">
        <v>489</v>
      </c>
      <c r="F201" s="5">
        <v>12</v>
      </c>
      <c r="G201" s="5" t="str">
        <f t="shared" si="9"/>
        <v>MULT</v>
      </c>
      <c r="H201" s="9">
        <v>2</v>
      </c>
      <c r="I201" s="9"/>
      <c r="J201" s="4" t="str">
        <f t="shared" si="10"/>
        <v>YES</v>
      </c>
      <c r="K201" s="4" t="s">
        <v>447</v>
      </c>
      <c r="L201" s="6" t="s">
        <v>763</v>
      </c>
      <c r="M201" s="6" t="str">
        <f t="shared" si="11"/>
        <v>'MAT-12-2' =&gt; array('N'=&gt;'', 'C'=&gt;"Jonah is Spewed Forth by the Whale", 'F'=&gt;'Hebrew-OT-138-Jonah-is-Spewed-Forth-by-the-Whale'),</v>
      </c>
    </row>
    <row r="202" spans="1:13" x14ac:dyDescent="0.25">
      <c r="A202" s="7">
        <v>32</v>
      </c>
      <c r="B202" s="4" t="s">
        <v>277</v>
      </c>
      <c r="C202" s="12">
        <v>3</v>
      </c>
      <c r="D202" s="5">
        <f>VLOOKUP(E202,Sheet2!A:C,2,FALSE)</f>
        <v>40</v>
      </c>
      <c r="E202" s="4" t="s">
        <v>489</v>
      </c>
      <c r="F202" s="5">
        <v>12</v>
      </c>
      <c r="G202" s="5" t="str">
        <f t="shared" si="9"/>
        <v>MULT</v>
      </c>
      <c r="H202" s="9">
        <v>3</v>
      </c>
      <c r="I202" s="9"/>
      <c r="J202" s="4" t="str">
        <f t="shared" si="10"/>
        <v>YES</v>
      </c>
      <c r="K202" s="4" t="s">
        <v>278</v>
      </c>
      <c r="L202" s="6" t="s">
        <v>764</v>
      </c>
      <c r="M202" s="6" t="str">
        <f t="shared" si="11"/>
        <v>'MAT-12-3' =&gt; array('N'=&gt;'', 'C'=&gt;"Jonah Preaches to the Ninevites", 'F'=&gt;'Hebrew-OT-139-Jonah-Preaches-to-the-Ninevites'),</v>
      </c>
    </row>
    <row r="203" spans="1:13" x14ac:dyDescent="0.25">
      <c r="A203" s="7">
        <v>41</v>
      </c>
      <c r="B203" s="4" t="s">
        <v>314</v>
      </c>
      <c r="C203" s="12">
        <v>1.2</v>
      </c>
      <c r="D203" s="17">
        <f>VLOOKUP(E203,Sheet2!A:C,2,FALSE)</f>
        <v>40</v>
      </c>
      <c r="E203" s="15" t="s">
        <v>489</v>
      </c>
      <c r="F203" s="17">
        <v>12</v>
      </c>
      <c r="G203" s="5" t="str">
        <f t="shared" si="9"/>
        <v>MULT</v>
      </c>
      <c r="H203" s="9">
        <v>4</v>
      </c>
      <c r="I203" s="9"/>
      <c r="J203" s="4" t="str">
        <f t="shared" si="10"/>
        <v>YES</v>
      </c>
      <c r="K203" s="4" t="s">
        <v>315</v>
      </c>
      <c r="L203" s="6" t="s">
        <v>775</v>
      </c>
      <c r="M203" s="6" t="str">
        <f t="shared" si="11"/>
        <v>'MAT-12-4' =&gt; array('N'=&gt;'', 'C'=&gt;"Jesus Preaches in the Synagogue", 'F'=&gt;'NT-Gospel-172-Jesus-Preaches-in-the-Synagogue'),</v>
      </c>
    </row>
    <row r="204" spans="1:13" x14ac:dyDescent="0.25">
      <c r="A204" s="7">
        <v>42</v>
      </c>
      <c r="B204" s="4" t="s">
        <v>339</v>
      </c>
      <c r="C204" s="12">
        <v>4.2</v>
      </c>
      <c r="D204" s="5">
        <f>VLOOKUP(E204,Sheet2!A:C,2,FALSE)</f>
        <v>40</v>
      </c>
      <c r="E204" s="4" t="s">
        <v>489</v>
      </c>
      <c r="F204" s="5">
        <v>12</v>
      </c>
      <c r="G204" s="5" t="str">
        <f t="shared" si="9"/>
        <v>MULT</v>
      </c>
      <c r="H204" s="9">
        <v>5</v>
      </c>
      <c r="I204" s="9"/>
      <c r="J204" s="4" t="str">
        <f t="shared" si="10"/>
        <v>YES</v>
      </c>
      <c r="K204" s="4" t="s">
        <v>340</v>
      </c>
      <c r="L204" s="6" t="s">
        <v>776</v>
      </c>
      <c r="M204" s="6" t="str">
        <f t="shared" si="11"/>
        <v>'MAT-12-5' =&gt; array('N'=&gt;'', 'C'=&gt;"Jesus Heals a Demoniac", 'F'=&gt;'NT-Gospel-173-Jesus-Heals-a-Demoniac'),</v>
      </c>
    </row>
    <row r="205" spans="1:13" x14ac:dyDescent="0.25">
      <c r="A205" s="7">
        <v>41</v>
      </c>
      <c r="B205" s="4" t="s">
        <v>316</v>
      </c>
      <c r="C205" s="12">
        <v>2</v>
      </c>
      <c r="D205" s="5">
        <f>VLOOKUP(E205,Sheet2!A:C,2,FALSE)</f>
        <v>40</v>
      </c>
      <c r="E205" s="4" t="s">
        <v>489</v>
      </c>
      <c r="F205" s="5">
        <v>12</v>
      </c>
      <c r="G205" s="5" t="str">
        <f t="shared" si="9"/>
        <v>MULT</v>
      </c>
      <c r="H205" s="9">
        <v>6</v>
      </c>
      <c r="I205" s="9"/>
      <c r="J205" s="4" t="str">
        <f t="shared" si="10"/>
        <v>YES</v>
      </c>
      <c r="K205" s="4" t="s">
        <v>317</v>
      </c>
      <c r="L205" s="6" t="s">
        <v>781</v>
      </c>
      <c r="M205" s="6" t="str">
        <f t="shared" si="11"/>
        <v>'MAT-12-6' =&gt; array('N'=&gt;'', 'C'=&gt;"The Disciples Pluck Grain on the Sabbath", 'F'=&gt;'NT-Gospel-176-The-Disciples-Pluck-Grain-on-the-Sabbath'),</v>
      </c>
    </row>
    <row r="206" spans="1:13" x14ac:dyDescent="0.25">
      <c r="A206" s="7">
        <v>40</v>
      </c>
      <c r="B206" s="4" t="s">
        <v>291</v>
      </c>
      <c r="C206" s="12">
        <v>12</v>
      </c>
      <c r="D206" s="5">
        <f>VLOOKUP(E206,Sheet2!A:C,2,FALSE)</f>
        <v>40</v>
      </c>
      <c r="E206" s="4" t="s">
        <v>489</v>
      </c>
      <c r="F206" s="5">
        <v>12</v>
      </c>
      <c r="G206" s="5" t="str">
        <f t="shared" si="9"/>
        <v>MULT</v>
      </c>
      <c r="H206" s="9">
        <v>7</v>
      </c>
      <c r="I206" s="9"/>
      <c r="J206" s="4" t="str">
        <f t="shared" si="10"/>
        <v/>
      </c>
      <c r="K206" s="4" t="s">
        <v>462</v>
      </c>
      <c r="L206" s="6" t="s">
        <v>782</v>
      </c>
      <c r="M206" s="6" t="str">
        <f t="shared" si="11"/>
        <v>'MAT-12-7' =&gt; array('N'=&gt;'', 'C'=&gt;"Jesus Heals a Blind Man", 'F'=&gt;'NT-Gospel-178-Jesus-Heals-a-Blind-Man'),</v>
      </c>
    </row>
    <row r="207" spans="1:13" x14ac:dyDescent="0.25">
      <c r="A207" s="7">
        <v>41</v>
      </c>
      <c r="B207" s="4" t="s">
        <v>314</v>
      </c>
      <c r="C207" s="12">
        <v>1.2</v>
      </c>
      <c r="D207" s="17">
        <f>VLOOKUP(E207,Sheet2!A:C,2,FALSE)</f>
        <v>40</v>
      </c>
      <c r="E207" s="15" t="s">
        <v>489</v>
      </c>
      <c r="F207" s="17">
        <v>13</v>
      </c>
      <c r="G207" s="5" t="str">
        <f t="shared" si="9"/>
        <v/>
      </c>
      <c r="H207" s="9"/>
      <c r="I207" s="9">
        <v>3</v>
      </c>
      <c r="J207" s="4" t="str">
        <f t="shared" si="10"/>
        <v>YES</v>
      </c>
      <c r="K207" s="4" t="s">
        <v>315</v>
      </c>
      <c r="L207" s="6" t="s">
        <v>775</v>
      </c>
      <c r="M207" s="6" t="str">
        <f t="shared" si="11"/>
        <v>'MAT-13' =&gt; array('N'=&gt;'3', 'C'=&gt;"Jesus Preaches in the Synagogue", 'F'=&gt;'NT-Gospel-172-Jesus-Preaches-in-the-Synagogue'),</v>
      </c>
    </row>
    <row r="208" spans="1:13" x14ac:dyDescent="0.25">
      <c r="A208" s="7">
        <v>42</v>
      </c>
      <c r="B208" s="4" t="s">
        <v>341</v>
      </c>
      <c r="C208" s="12">
        <v>5</v>
      </c>
      <c r="D208" s="5">
        <f>VLOOKUP(E208,Sheet2!A:C,2,FALSE)</f>
        <v>40</v>
      </c>
      <c r="E208" s="4" t="s">
        <v>489</v>
      </c>
      <c r="F208" s="5">
        <v>13</v>
      </c>
      <c r="G208" s="5" t="str">
        <f t="shared" si="9"/>
        <v>MULT</v>
      </c>
      <c r="H208" s="9">
        <v>2</v>
      </c>
      <c r="I208" s="9"/>
      <c r="J208" s="4" t="str">
        <f t="shared" si="10"/>
        <v>YES</v>
      </c>
      <c r="K208" s="4" t="s">
        <v>342</v>
      </c>
      <c r="L208" s="6" t="s">
        <v>783</v>
      </c>
      <c r="M208" s="6" t="str">
        <f t="shared" si="11"/>
        <v>'MAT-13-2' =&gt; array('N'=&gt;'', 'C'=&gt;"Jesus Preaches at the Sea of Galilee", 'F'=&gt;'NT-Gospel-174-Jesus-Preaches-at-the-Sea-of-Galilee'),</v>
      </c>
    </row>
    <row r="209" spans="1:13" x14ac:dyDescent="0.25">
      <c r="A209" s="14">
        <v>42</v>
      </c>
      <c r="B209" s="15" t="s">
        <v>353</v>
      </c>
      <c r="C209" s="16">
        <v>12</v>
      </c>
      <c r="D209" s="17">
        <f>VLOOKUP(E209,Sheet2!A:C,2,FALSE)</f>
        <v>40</v>
      </c>
      <c r="E209" s="15" t="s">
        <v>489</v>
      </c>
      <c r="F209" s="17">
        <v>13</v>
      </c>
      <c r="G209" s="5" t="str">
        <f t="shared" si="9"/>
        <v>MULT</v>
      </c>
      <c r="H209" s="9">
        <v>3</v>
      </c>
      <c r="I209" s="9"/>
      <c r="J209" s="4" t="str">
        <f t="shared" si="10"/>
        <v>YES</v>
      </c>
      <c r="K209" s="15" t="s">
        <v>354</v>
      </c>
      <c r="L209" s="18" t="s">
        <v>777</v>
      </c>
      <c r="M209" s="6" t="str">
        <f t="shared" si="11"/>
        <v>'MAT-13-3' =&gt; array('N'=&gt;'', 'C'=&gt;"Jesus Preaches to the Multitude", 'F'=&gt;'NT-Gospel-183-Jesus-Preaches-to-the-Multitude'),</v>
      </c>
    </row>
    <row r="210" spans="1:13" x14ac:dyDescent="0.25">
      <c r="A210" s="7">
        <v>40</v>
      </c>
      <c r="B210" s="4" t="s">
        <v>292</v>
      </c>
      <c r="C210" s="12">
        <v>14.1</v>
      </c>
      <c r="D210" s="5">
        <f>VLOOKUP(E210,Sheet2!A:C,2,FALSE)</f>
        <v>40</v>
      </c>
      <c r="E210" s="4" t="s">
        <v>489</v>
      </c>
      <c r="F210" s="5">
        <v>14</v>
      </c>
      <c r="G210" s="5" t="str">
        <f t="shared" si="9"/>
        <v/>
      </c>
      <c r="H210" s="9"/>
      <c r="I210" s="9">
        <v>3</v>
      </c>
      <c r="J210" s="4" t="str">
        <f t="shared" si="10"/>
        <v/>
      </c>
      <c r="K210" s="4" t="s">
        <v>293</v>
      </c>
      <c r="L210" s="6" t="s">
        <v>784</v>
      </c>
      <c r="M210" s="6" t="str">
        <f t="shared" si="11"/>
        <v>'MAT-14' =&gt; array('N'=&gt;'3', 'C'=&gt;"Herod's Daughter Receives the Head of John the Baptist", 'F'=&gt;'NT-Gospel-182-Herods-Daughter-Receives-the-Head-of-John-the-Baptist'),</v>
      </c>
    </row>
    <row r="211" spans="1:13" x14ac:dyDescent="0.25">
      <c r="A211" s="7">
        <v>40</v>
      </c>
      <c r="B211" s="4" t="s">
        <v>294</v>
      </c>
      <c r="C211" s="12">
        <v>14.2</v>
      </c>
      <c r="D211" s="5">
        <f>VLOOKUP(E211,Sheet2!A:C,2,FALSE)</f>
        <v>40</v>
      </c>
      <c r="E211" s="4" t="s">
        <v>489</v>
      </c>
      <c r="F211" s="5">
        <v>14</v>
      </c>
      <c r="G211" s="5" t="str">
        <f t="shared" si="9"/>
        <v>MULT</v>
      </c>
      <c r="H211" s="9">
        <v>2</v>
      </c>
      <c r="I211" s="9"/>
      <c r="J211" s="4" t="str">
        <f t="shared" si="10"/>
        <v/>
      </c>
      <c r="K211" s="4" t="s">
        <v>295</v>
      </c>
      <c r="L211" s="6" t="s">
        <v>785</v>
      </c>
      <c r="M211" s="6" t="str">
        <f t="shared" si="11"/>
        <v>'MAT-14-2' =&gt; array('N'=&gt;'', 'C'=&gt;"Jesus Feeds the Multitudes", 'F'=&gt;'NT-Gospel-184-Jesus-Feeds-the-Multitudes'),</v>
      </c>
    </row>
    <row r="212" spans="1:13" x14ac:dyDescent="0.25">
      <c r="A212" s="7">
        <v>43</v>
      </c>
      <c r="B212" s="4" t="s">
        <v>382</v>
      </c>
      <c r="C212" s="12">
        <v>6</v>
      </c>
      <c r="D212" s="5">
        <f>VLOOKUP(E212,Sheet2!A:C,2,FALSE)</f>
        <v>40</v>
      </c>
      <c r="E212" s="4" t="s">
        <v>489</v>
      </c>
      <c r="F212" s="5">
        <v>14</v>
      </c>
      <c r="G212" s="5" t="str">
        <f t="shared" si="9"/>
        <v>MULT</v>
      </c>
      <c r="H212" s="9">
        <v>3</v>
      </c>
      <c r="I212" s="9"/>
      <c r="J212" s="4" t="str">
        <f t="shared" si="10"/>
        <v>YES</v>
      </c>
      <c r="K212" s="4" t="s">
        <v>383</v>
      </c>
      <c r="L212" s="6" t="s">
        <v>786</v>
      </c>
      <c r="M212" s="6" t="str">
        <f t="shared" si="11"/>
        <v>'MAT-14-3' =&gt; array('N'=&gt;'', 'C'=&gt;"Jesus Walks on the Sea", 'F'=&gt;'NT-Gospel-185-Jesus-Walks-on-the-Sea'),</v>
      </c>
    </row>
    <row r="213" spans="1:13" x14ac:dyDescent="0.25">
      <c r="A213" s="7">
        <v>23</v>
      </c>
      <c r="B213" s="4" t="s">
        <v>246</v>
      </c>
      <c r="C213" s="12">
        <v>6</v>
      </c>
      <c r="D213" s="5">
        <f>VLOOKUP(E213,Sheet2!A:C,2,FALSE)</f>
        <v>40</v>
      </c>
      <c r="E213" s="4" t="s">
        <v>489</v>
      </c>
      <c r="F213" s="5">
        <v>15</v>
      </c>
      <c r="G213" s="5" t="str">
        <f t="shared" si="9"/>
        <v/>
      </c>
      <c r="H213" s="9"/>
      <c r="I213" s="9">
        <v>4</v>
      </c>
      <c r="J213" s="4" t="str">
        <f t="shared" si="10"/>
        <v>YES</v>
      </c>
      <c r="K213" s="4" t="s">
        <v>247</v>
      </c>
      <c r="L213" s="6" t="s">
        <v>749</v>
      </c>
      <c r="M213" s="6" t="str">
        <f t="shared" si="11"/>
        <v>'MAT-15' =&gt; array('N'=&gt;'4', 'C'=&gt;"The Prophet Isaiah", 'F'=&gt;'Hebrew-OT-110-The-Prophet-Isaiah'),</v>
      </c>
    </row>
    <row r="214" spans="1:13" x14ac:dyDescent="0.25">
      <c r="A214" s="7">
        <v>42</v>
      </c>
      <c r="B214" s="4" t="s">
        <v>339</v>
      </c>
      <c r="C214" s="12">
        <v>4.2</v>
      </c>
      <c r="D214" s="5">
        <f>VLOOKUP(E214,Sheet2!A:C,2,FALSE)</f>
        <v>40</v>
      </c>
      <c r="E214" s="4" t="s">
        <v>489</v>
      </c>
      <c r="F214" s="5">
        <v>15</v>
      </c>
      <c r="G214" s="5" t="str">
        <f t="shared" si="9"/>
        <v>MULT</v>
      </c>
      <c r="H214" s="9">
        <v>2</v>
      </c>
      <c r="I214" s="9"/>
      <c r="J214" s="4" t="str">
        <f t="shared" si="10"/>
        <v>YES</v>
      </c>
      <c r="K214" s="4" t="s">
        <v>340</v>
      </c>
      <c r="L214" s="6" t="s">
        <v>776</v>
      </c>
      <c r="M214" s="6" t="str">
        <f t="shared" si="11"/>
        <v>'MAT-15-2' =&gt; array('N'=&gt;'', 'C'=&gt;"Jesus Heals a Demoniac", 'F'=&gt;'NT-Gospel-173-Jesus-Heals-a-Demoniac'),</v>
      </c>
    </row>
    <row r="215" spans="1:13" x14ac:dyDescent="0.25">
      <c r="A215" s="7">
        <v>40</v>
      </c>
      <c r="B215" s="4" t="s">
        <v>294</v>
      </c>
      <c r="C215" s="12">
        <v>14.2</v>
      </c>
      <c r="D215" s="5">
        <f>VLOOKUP(E215,Sheet2!A:C,2,FALSE)</f>
        <v>40</v>
      </c>
      <c r="E215" s="4" t="s">
        <v>489</v>
      </c>
      <c r="F215" s="5">
        <v>15</v>
      </c>
      <c r="G215" s="5" t="str">
        <f t="shared" si="9"/>
        <v>MULT</v>
      </c>
      <c r="H215" s="9">
        <v>3</v>
      </c>
      <c r="I215" s="9"/>
      <c r="J215" s="4" t="str">
        <f t="shared" si="10"/>
        <v>YES</v>
      </c>
      <c r="K215" s="4" t="s">
        <v>295</v>
      </c>
      <c r="L215" s="6" t="s">
        <v>785</v>
      </c>
      <c r="M215" s="6" t="str">
        <f t="shared" si="11"/>
        <v>'MAT-15-3' =&gt; array('N'=&gt;'', 'C'=&gt;"Jesus Feeds the Multitudes", 'F'=&gt;'NT-Gospel-184-Jesus-Feeds-the-Multitudes'),</v>
      </c>
    </row>
    <row r="216" spans="1:13" x14ac:dyDescent="0.25">
      <c r="A216" s="7">
        <v>40</v>
      </c>
      <c r="B216" s="4" t="s">
        <v>296</v>
      </c>
      <c r="C216" s="12">
        <v>15</v>
      </c>
      <c r="D216" s="5">
        <f>VLOOKUP(E216,Sheet2!A:C,2,FALSE)</f>
        <v>40</v>
      </c>
      <c r="E216" s="4" t="s">
        <v>489</v>
      </c>
      <c r="F216" s="5">
        <v>15</v>
      </c>
      <c r="G216" s="5" t="str">
        <f t="shared" si="9"/>
        <v>MULT</v>
      </c>
      <c r="H216" s="9">
        <v>4</v>
      </c>
      <c r="I216" s="9"/>
      <c r="J216" s="4" t="str">
        <f t="shared" si="10"/>
        <v/>
      </c>
      <c r="K216" s="4" t="s">
        <v>297</v>
      </c>
      <c r="L216" s="6" t="s">
        <v>778</v>
      </c>
      <c r="M216" s="6" t="str">
        <f t="shared" si="11"/>
        <v>'MAT-15-4' =&gt; array('N'=&gt;'', 'C'=&gt;"Jesus Heals the Sick", 'F'=&gt;'NT-Gospel-186-Jesus-Heals-the-Sick'),</v>
      </c>
    </row>
    <row r="217" spans="1:13" x14ac:dyDescent="0.25">
      <c r="A217" s="7">
        <v>32</v>
      </c>
      <c r="B217" s="4" t="s">
        <v>276</v>
      </c>
      <c r="C217" s="12">
        <v>2</v>
      </c>
      <c r="D217" s="5">
        <f>VLOOKUP(E217,Sheet2!A:C,2,FALSE)</f>
        <v>40</v>
      </c>
      <c r="E217" s="4" t="s">
        <v>489</v>
      </c>
      <c r="F217" s="5">
        <v>16</v>
      </c>
      <c r="G217" s="5" t="str">
        <f t="shared" si="9"/>
        <v/>
      </c>
      <c r="H217" s="9"/>
      <c r="I217" s="9">
        <v>2</v>
      </c>
      <c r="J217" s="4" t="str">
        <f t="shared" si="10"/>
        <v>YES</v>
      </c>
      <c r="K217" s="4" t="s">
        <v>447</v>
      </c>
      <c r="L217" s="6" t="s">
        <v>763</v>
      </c>
      <c r="M217" s="6" t="str">
        <f t="shared" si="11"/>
        <v>'MAT-16' =&gt; array('N'=&gt;'2', 'C'=&gt;"Jonah is Spewed Forth by the Whale", 'F'=&gt;'Hebrew-OT-138-Jonah-is-Spewed-Forth-by-the-Whale'),</v>
      </c>
    </row>
    <row r="218" spans="1:13" x14ac:dyDescent="0.25">
      <c r="A218" s="7">
        <v>32</v>
      </c>
      <c r="B218" s="4" t="s">
        <v>277</v>
      </c>
      <c r="C218" s="12">
        <v>3</v>
      </c>
      <c r="D218" s="5">
        <f>VLOOKUP(E218,Sheet2!A:C,2,FALSE)</f>
        <v>40</v>
      </c>
      <c r="E218" s="4" t="s">
        <v>489</v>
      </c>
      <c r="F218" s="5">
        <v>16</v>
      </c>
      <c r="G218" s="5" t="str">
        <f t="shared" si="9"/>
        <v>MULT</v>
      </c>
      <c r="H218" s="9">
        <v>2</v>
      </c>
      <c r="I218" s="9"/>
      <c r="J218" s="4" t="str">
        <f t="shared" si="10"/>
        <v>YES</v>
      </c>
      <c r="K218" s="4" t="s">
        <v>278</v>
      </c>
      <c r="L218" s="6" t="s">
        <v>764</v>
      </c>
      <c r="M218" s="6" t="str">
        <f t="shared" si="11"/>
        <v>'MAT-16-2' =&gt; array('N'=&gt;'', 'C'=&gt;"Jonah Preaches to the Ninevites", 'F'=&gt;'Hebrew-OT-139-Jonah-Preaches-to-the-Ninevites'),</v>
      </c>
    </row>
    <row r="219" spans="1:13" x14ac:dyDescent="0.25">
      <c r="A219" s="7">
        <v>12</v>
      </c>
      <c r="B219" s="4" t="s">
        <v>183</v>
      </c>
      <c r="C219" s="12">
        <v>2.1</v>
      </c>
      <c r="D219" s="5">
        <f>VLOOKUP(E219,Sheet2!A:C,2,FALSE)</f>
        <v>40</v>
      </c>
      <c r="E219" s="4" t="s">
        <v>489</v>
      </c>
      <c r="F219" s="5">
        <v>17</v>
      </c>
      <c r="G219" s="5" t="str">
        <f t="shared" si="9"/>
        <v/>
      </c>
      <c r="H219" s="9"/>
      <c r="I219" s="9">
        <v>4</v>
      </c>
      <c r="J219" s="4" t="str">
        <f t="shared" si="10"/>
        <v>YES</v>
      </c>
      <c r="K219" s="4" t="s">
        <v>184</v>
      </c>
      <c r="L219" s="6" t="s">
        <v>724</v>
      </c>
      <c r="M219" s="6" t="str">
        <f t="shared" si="11"/>
        <v>'MAT-17' =&gt; array('N'=&gt;'4', 'C'=&gt;"Elijah Ascends to Heaven in a Chariot of Fire", 'F'=&gt;'Hebrew-OT-102-Elijah-Ascends-to-Heaven-in-a-Chariot-of-Fire'),</v>
      </c>
    </row>
    <row r="220" spans="1:13" x14ac:dyDescent="0.25">
      <c r="A220" s="7">
        <v>42</v>
      </c>
      <c r="B220" s="4" t="s">
        <v>339</v>
      </c>
      <c r="C220" s="12">
        <v>4.2</v>
      </c>
      <c r="D220" s="5">
        <f>VLOOKUP(E220,Sheet2!A:C,2,FALSE)</f>
        <v>40</v>
      </c>
      <c r="E220" s="4" t="s">
        <v>489</v>
      </c>
      <c r="F220" s="5">
        <v>17</v>
      </c>
      <c r="G220" s="5" t="str">
        <f t="shared" si="9"/>
        <v>MULT</v>
      </c>
      <c r="H220" s="9">
        <v>2</v>
      </c>
      <c r="I220" s="9"/>
      <c r="J220" s="4" t="str">
        <f t="shared" si="10"/>
        <v>YES</v>
      </c>
      <c r="K220" s="4" t="s">
        <v>340</v>
      </c>
      <c r="L220" s="6" t="s">
        <v>776</v>
      </c>
      <c r="M220" s="6" t="str">
        <f t="shared" si="11"/>
        <v>'MAT-17-2' =&gt; array('N'=&gt;'', 'C'=&gt;"Jesus Heals a Demoniac", 'F'=&gt;'NT-Gospel-173-Jesus-Heals-a-Demoniac'),</v>
      </c>
    </row>
    <row r="221" spans="1:13" x14ac:dyDescent="0.25">
      <c r="A221" s="7">
        <v>41</v>
      </c>
      <c r="B221" s="4" t="s">
        <v>319</v>
      </c>
      <c r="C221" s="12">
        <v>9</v>
      </c>
      <c r="D221" s="5">
        <f>VLOOKUP(E221,Sheet2!A:C,2,FALSE)</f>
        <v>40</v>
      </c>
      <c r="E221" s="4" t="s">
        <v>489</v>
      </c>
      <c r="F221" s="5">
        <v>17</v>
      </c>
      <c r="G221" s="5" t="str">
        <f t="shared" si="9"/>
        <v>MULT</v>
      </c>
      <c r="H221" s="9">
        <v>3</v>
      </c>
      <c r="I221" s="9"/>
      <c r="J221" s="4" t="str">
        <f t="shared" si="10"/>
        <v>YES</v>
      </c>
      <c r="K221" s="4" t="s">
        <v>320</v>
      </c>
      <c r="L221" s="6" t="s">
        <v>787</v>
      </c>
      <c r="M221" s="6" t="str">
        <f t="shared" si="11"/>
        <v>'MAT-17-3' =&gt; array('N'=&gt;'', 'C'=&gt;"The Transfiguration", 'F'=&gt;'NT-Gospel-187-The-Transfiguration'),</v>
      </c>
    </row>
    <row r="222" spans="1:13" x14ac:dyDescent="0.25">
      <c r="A222" s="7">
        <v>40</v>
      </c>
      <c r="B222" s="4" t="s">
        <v>298</v>
      </c>
      <c r="C222" s="12">
        <v>17</v>
      </c>
      <c r="D222" s="5">
        <f>VLOOKUP(E222,Sheet2!A:C,2,FALSE)</f>
        <v>40</v>
      </c>
      <c r="E222" s="4" t="s">
        <v>489</v>
      </c>
      <c r="F222" s="5">
        <v>17</v>
      </c>
      <c r="G222" s="5" t="str">
        <f t="shared" si="9"/>
        <v>MULT</v>
      </c>
      <c r="H222" s="9">
        <v>4</v>
      </c>
      <c r="I222" s="9"/>
      <c r="J222" s="4" t="str">
        <f t="shared" si="10"/>
        <v/>
      </c>
      <c r="K222" s="4" t="s">
        <v>299</v>
      </c>
      <c r="L222" s="6" t="s">
        <v>788</v>
      </c>
      <c r="M222" s="6" t="str">
        <f t="shared" si="11"/>
        <v>'MAT-17-4' =&gt; array('N'=&gt;'', 'C'=&gt;"Jesus Heals the Epileptic Demoniac", 'F'=&gt;'NT-Gospel-188-Jesus-Heals-the-Epileptic-Demoniac'),</v>
      </c>
    </row>
    <row r="223" spans="1:13" x14ac:dyDescent="0.25">
      <c r="A223" s="7">
        <v>41</v>
      </c>
      <c r="B223" s="4" t="s">
        <v>321</v>
      </c>
      <c r="C223" s="12">
        <v>10</v>
      </c>
      <c r="D223" s="5">
        <f>VLOOKUP(E223,Sheet2!A:C,2,FALSE)</f>
        <v>40</v>
      </c>
      <c r="E223" s="4" t="s">
        <v>489</v>
      </c>
      <c r="F223" s="5">
        <v>19</v>
      </c>
      <c r="G223" s="5" t="str">
        <f t="shared" si="9"/>
        <v/>
      </c>
      <c r="H223" s="9"/>
      <c r="I223" s="9"/>
      <c r="J223" s="4" t="str">
        <f t="shared" si="10"/>
        <v>YES</v>
      </c>
      <c r="K223" s="4" t="s">
        <v>322</v>
      </c>
      <c r="L223" s="6" t="s">
        <v>789</v>
      </c>
      <c r="M223" s="6" t="str">
        <f t="shared" si="11"/>
        <v>'MAT-19' =&gt; array('N'=&gt;'', 'C'=&gt;"Jesus Blesses the Little Children", 'F'=&gt;'NT-Gospel-192-Jesus-Blesses-the-Little-Children'),</v>
      </c>
    </row>
    <row r="224" spans="1:13" x14ac:dyDescent="0.25">
      <c r="A224" s="7">
        <v>41</v>
      </c>
      <c r="B224" s="4" t="s">
        <v>314</v>
      </c>
      <c r="C224" s="12">
        <v>1.2</v>
      </c>
      <c r="D224" s="17">
        <f>VLOOKUP(E224,Sheet2!A:C,2,FALSE)</f>
        <v>40</v>
      </c>
      <c r="E224" s="15" t="s">
        <v>489</v>
      </c>
      <c r="F224" s="17">
        <v>21</v>
      </c>
      <c r="G224" s="5" t="str">
        <f t="shared" si="9"/>
        <v/>
      </c>
      <c r="H224" s="9"/>
      <c r="I224" s="9">
        <v>4</v>
      </c>
      <c r="J224" s="4" t="str">
        <f t="shared" si="10"/>
        <v>YES</v>
      </c>
      <c r="K224" s="4" t="s">
        <v>315</v>
      </c>
      <c r="L224" s="6" t="s">
        <v>775</v>
      </c>
      <c r="M224" s="6" t="str">
        <f t="shared" si="11"/>
        <v>'MAT-21' =&gt; array('N'=&gt;'4', 'C'=&gt;"Jesus Preaches in the Synagogue", 'F'=&gt;'NT-Gospel-172-Jesus-Preaches-in-the-Synagogue'),</v>
      </c>
    </row>
    <row r="225" spans="1:13" x14ac:dyDescent="0.25">
      <c r="A225" s="14">
        <v>42</v>
      </c>
      <c r="B225" s="15" t="s">
        <v>353</v>
      </c>
      <c r="C225" s="16">
        <v>12</v>
      </c>
      <c r="D225" s="17">
        <f>VLOOKUP(E225,Sheet2!A:C,2,FALSE)</f>
        <v>40</v>
      </c>
      <c r="E225" s="15" t="s">
        <v>489</v>
      </c>
      <c r="F225" s="17">
        <v>21</v>
      </c>
      <c r="G225" s="5" t="str">
        <f t="shared" si="9"/>
        <v>MULT</v>
      </c>
      <c r="H225" s="9">
        <v>2</v>
      </c>
      <c r="I225" s="9"/>
      <c r="J225" s="4" t="str">
        <f t="shared" si="10"/>
        <v>YES</v>
      </c>
      <c r="K225" s="15" t="s">
        <v>354</v>
      </c>
      <c r="L225" s="18" t="s">
        <v>777</v>
      </c>
      <c r="M225" s="6" t="str">
        <f t="shared" si="11"/>
        <v>'MAT-21-2' =&gt; array('N'=&gt;'', 'C'=&gt;"Jesus Preaches to the Multitude", 'F'=&gt;'NT-Gospel-183-Jesus-Preaches-to-the-Multitude'),</v>
      </c>
    </row>
    <row r="226" spans="1:13" x14ac:dyDescent="0.25">
      <c r="A226" s="7">
        <v>40</v>
      </c>
      <c r="B226" s="4" t="s">
        <v>300</v>
      </c>
      <c r="C226" s="12">
        <v>21</v>
      </c>
      <c r="D226" s="5">
        <f>VLOOKUP(E226,Sheet2!A:C,2,FALSE)</f>
        <v>40</v>
      </c>
      <c r="E226" s="4" t="s">
        <v>489</v>
      </c>
      <c r="F226" s="5">
        <v>21</v>
      </c>
      <c r="G226" s="5" t="str">
        <f t="shared" si="9"/>
        <v>MULT</v>
      </c>
      <c r="H226" s="9">
        <v>3</v>
      </c>
      <c r="I226" s="9"/>
      <c r="J226" s="4" t="str">
        <f t="shared" si="10"/>
        <v/>
      </c>
      <c r="K226" s="4" t="s">
        <v>301</v>
      </c>
      <c r="L226" s="6" t="s">
        <v>790</v>
      </c>
      <c r="M226" s="6" t="str">
        <f t="shared" si="11"/>
        <v>'MAT-21-3' =&gt; array('N'=&gt;'', 'C'=&gt;"Jesus Enters into Jerusalem", 'F'=&gt;'NT-Gospel-198-Jesus-Enters-into-Jerusalem'),</v>
      </c>
    </row>
    <row r="227" spans="1:13" x14ac:dyDescent="0.25">
      <c r="A227" s="7">
        <v>42</v>
      </c>
      <c r="B227" s="4" t="s">
        <v>363</v>
      </c>
      <c r="C227" s="12">
        <v>19</v>
      </c>
      <c r="D227" s="5">
        <f>VLOOKUP(E227,Sheet2!A:C,2,FALSE)</f>
        <v>40</v>
      </c>
      <c r="E227" s="4" t="s">
        <v>489</v>
      </c>
      <c r="F227" s="5">
        <v>21</v>
      </c>
      <c r="G227" s="5" t="str">
        <f t="shared" si="9"/>
        <v>MULT</v>
      </c>
      <c r="H227" s="9">
        <v>4</v>
      </c>
      <c r="I227" s="9"/>
      <c r="J227" s="4" t="str">
        <f t="shared" si="10"/>
        <v>YES</v>
      </c>
      <c r="K227" s="4" t="s">
        <v>364</v>
      </c>
      <c r="L227" s="6" t="s">
        <v>791</v>
      </c>
      <c r="M227" s="6" t="str">
        <f t="shared" si="11"/>
        <v>'MAT-21-4' =&gt; array('N'=&gt;'', 'C'=&gt;"Buyers and Sellers Are Driven Out of the Temple", 'F'=&gt;'NT-Gospel-199-Buyers-and-Sellers-Are-Driven-Out-of-the-Temple'),</v>
      </c>
    </row>
    <row r="228" spans="1:13" x14ac:dyDescent="0.25">
      <c r="A228" s="7">
        <v>41</v>
      </c>
      <c r="B228" s="4" t="s">
        <v>314</v>
      </c>
      <c r="C228" s="12">
        <v>1.2</v>
      </c>
      <c r="D228" s="17">
        <f>VLOOKUP(E228,Sheet2!A:C,2,FALSE)</f>
        <v>40</v>
      </c>
      <c r="E228" s="15" t="s">
        <v>489</v>
      </c>
      <c r="F228" s="17">
        <v>22</v>
      </c>
      <c r="G228" s="5" t="str">
        <f t="shared" si="9"/>
        <v/>
      </c>
      <c r="H228" s="9"/>
      <c r="I228" s="9">
        <v>3</v>
      </c>
      <c r="J228" s="4" t="str">
        <f t="shared" si="10"/>
        <v>YES</v>
      </c>
      <c r="K228" s="4" t="s">
        <v>315</v>
      </c>
      <c r="L228" s="6" t="s">
        <v>775</v>
      </c>
      <c r="M228" s="6" t="str">
        <f t="shared" si="11"/>
        <v>'MAT-22' =&gt; array('N'=&gt;'3', 'C'=&gt;"Jesus Preaches in the Synagogue", 'F'=&gt;'NT-Gospel-172-Jesus-Preaches-in-the-Synagogue'),</v>
      </c>
    </row>
    <row r="229" spans="1:13" x14ac:dyDescent="0.25">
      <c r="A229" s="14">
        <v>42</v>
      </c>
      <c r="B229" s="15" t="s">
        <v>353</v>
      </c>
      <c r="C229" s="16">
        <v>12</v>
      </c>
      <c r="D229" s="17">
        <f>VLOOKUP(E229,Sheet2!A:C,2,FALSE)</f>
        <v>40</v>
      </c>
      <c r="E229" s="15" t="s">
        <v>489</v>
      </c>
      <c r="F229" s="17">
        <v>22</v>
      </c>
      <c r="G229" s="5" t="str">
        <f t="shared" si="9"/>
        <v>MULT</v>
      </c>
      <c r="H229" s="9">
        <v>2</v>
      </c>
      <c r="I229" s="9"/>
      <c r="J229" s="4" t="str">
        <f t="shared" si="10"/>
        <v>YES</v>
      </c>
      <c r="K229" s="15" t="s">
        <v>354</v>
      </c>
      <c r="L229" s="18" t="s">
        <v>777</v>
      </c>
      <c r="M229" s="6" t="str">
        <f t="shared" si="11"/>
        <v>'MAT-22-2' =&gt; array('N'=&gt;'', 'C'=&gt;"Jesus Preaches to the Multitude", 'F'=&gt;'NT-Gospel-183-Jesus-Preaches-to-the-Multitude'),</v>
      </c>
    </row>
    <row r="230" spans="1:13" x14ac:dyDescent="0.25">
      <c r="A230" s="7">
        <v>40</v>
      </c>
      <c r="B230" s="4" t="s">
        <v>302</v>
      </c>
      <c r="C230" s="12">
        <v>22</v>
      </c>
      <c r="D230" s="5">
        <f>VLOOKUP(E230,Sheet2!A:C,2,FALSE)</f>
        <v>40</v>
      </c>
      <c r="E230" s="4" t="s">
        <v>489</v>
      </c>
      <c r="F230" s="5">
        <v>22</v>
      </c>
      <c r="G230" s="5" t="str">
        <f t="shared" si="9"/>
        <v>MULT</v>
      </c>
      <c r="H230" s="9">
        <v>3</v>
      </c>
      <c r="I230" s="9"/>
      <c r="J230" s="4" t="str">
        <f t="shared" si="10"/>
        <v/>
      </c>
      <c r="K230" s="4" t="s">
        <v>303</v>
      </c>
      <c r="L230" s="6" t="s">
        <v>792</v>
      </c>
      <c r="M230" s="6" t="str">
        <f t="shared" si="11"/>
        <v>'MAT-22-3' =&gt; array('N'=&gt;'', 'C'=&gt;"Jesus Replies about the Tribute Money", 'F'=&gt;'NT-Gospel-200-Jesus-Replies-about-the-Tribute-Money'),</v>
      </c>
    </row>
    <row r="231" spans="1:13" x14ac:dyDescent="0.25">
      <c r="A231" s="7">
        <v>41</v>
      </c>
      <c r="B231" s="4" t="s">
        <v>314</v>
      </c>
      <c r="C231" s="12">
        <v>1.2</v>
      </c>
      <c r="D231" s="17">
        <f>VLOOKUP(E231,Sheet2!A:C,2,FALSE)</f>
        <v>40</v>
      </c>
      <c r="E231" s="15" t="s">
        <v>489</v>
      </c>
      <c r="F231" s="17">
        <v>23</v>
      </c>
      <c r="G231" s="5" t="str">
        <f t="shared" si="9"/>
        <v/>
      </c>
      <c r="H231" s="9"/>
      <c r="I231" s="9">
        <v>2</v>
      </c>
      <c r="J231" s="4" t="str">
        <f t="shared" si="10"/>
        <v>YES</v>
      </c>
      <c r="K231" s="4" t="s">
        <v>315</v>
      </c>
      <c r="L231" s="6" t="s">
        <v>775</v>
      </c>
      <c r="M231" s="6" t="str">
        <f t="shared" si="11"/>
        <v>'MAT-23' =&gt; array('N'=&gt;'2', 'C'=&gt;"Jesus Preaches in the Synagogue", 'F'=&gt;'NT-Gospel-172-Jesus-Preaches-in-the-Synagogue'),</v>
      </c>
    </row>
    <row r="232" spans="1:13" x14ac:dyDescent="0.25">
      <c r="A232" s="14">
        <v>42</v>
      </c>
      <c r="B232" s="15" t="s">
        <v>353</v>
      </c>
      <c r="C232" s="16">
        <v>12</v>
      </c>
      <c r="D232" s="17">
        <f>VLOOKUP(E232,Sheet2!A:C,2,FALSE)</f>
        <v>40</v>
      </c>
      <c r="E232" s="15" t="s">
        <v>489</v>
      </c>
      <c r="F232" s="17">
        <v>23</v>
      </c>
      <c r="G232" s="5" t="str">
        <f t="shared" si="9"/>
        <v>MULT</v>
      </c>
      <c r="H232" s="9">
        <v>2</v>
      </c>
      <c r="I232" s="9"/>
      <c r="J232" s="4" t="str">
        <f t="shared" si="10"/>
        <v>YES</v>
      </c>
      <c r="K232" s="15" t="s">
        <v>354</v>
      </c>
      <c r="L232" s="18" t="s">
        <v>777</v>
      </c>
      <c r="M232" s="6" t="str">
        <f t="shared" si="11"/>
        <v>'MAT-23-2' =&gt; array('N'=&gt;'', 'C'=&gt;"Jesus Preaches to the Multitude", 'F'=&gt;'NT-Gospel-183-Jesus-Preaches-to-the-Multitude'),</v>
      </c>
    </row>
    <row r="233" spans="1:13" x14ac:dyDescent="0.25">
      <c r="A233" s="7">
        <v>1</v>
      </c>
      <c r="B233" s="4" t="s">
        <v>10</v>
      </c>
      <c r="C233" s="12">
        <v>6</v>
      </c>
      <c r="D233" s="5">
        <f>VLOOKUP(E233,Sheet2!A:C,2,FALSE)</f>
        <v>40</v>
      </c>
      <c r="E233" s="4" t="s">
        <v>489</v>
      </c>
      <c r="F233" s="5">
        <v>24</v>
      </c>
      <c r="G233" s="5" t="str">
        <f t="shared" si="9"/>
        <v/>
      </c>
      <c r="H233" s="9"/>
      <c r="I233" s="9">
        <v>4</v>
      </c>
      <c r="J233" s="4" t="str">
        <f t="shared" si="10"/>
        <v>YES</v>
      </c>
      <c r="K233" s="4" t="s">
        <v>436</v>
      </c>
      <c r="L233" s="6" t="s">
        <v>633</v>
      </c>
      <c r="M233" s="6" t="str">
        <f t="shared" si="11"/>
        <v>'MAT-24' =&gt; array('N'=&gt;'4', 'C'=&gt;"The World is Destroyed by Water", 'F'=&gt;'Hebrew-OT-006-The-World-is-Destroyed-by-Water'),</v>
      </c>
    </row>
    <row r="234" spans="1:13" x14ac:dyDescent="0.25">
      <c r="A234" s="7">
        <v>27</v>
      </c>
      <c r="B234" s="4" t="s">
        <v>262</v>
      </c>
      <c r="C234" s="12">
        <v>1</v>
      </c>
      <c r="D234" s="5">
        <f>VLOOKUP(E234,Sheet2!A:C,2,FALSE)</f>
        <v>40</v>
      </c>
      <c r="E234" s="4" t="s">
        <v>489</v>
      </c>
      <c r="F234" s="5">
        <v>24</v>
      </c>
      <c r="G234" s="5" t="str">
        <f t="shared" si="9"/>
        <v>MULT</v>
      </c>
      <c r="H234" s="9">
        <v>2</v>
      </c>
      <c r="I234" s="9"/>
      <c r="J234" s="4" t="str">
        <f t="shared" si="10"/>
        <v>YES</v>
      </c>
      <c r="K234" s="4" t="s">
        <v>263</v>
      </c>
      <c r="L234" s="6" t="s">
        <v>757</v>
      </c>
      <c r="M234" s="6" t="str">
        <f t="shared" si="11"/>
        <v>'MAT-24-2' =&gt; array('N'=&gt;'', 'C'=&gt;"Daniel among the Exiles", 'F'=&gt;'Hebrew-OT-122-Daniel-among-the-Exiles'),</v>
      </c>
    </row>
    <row r="235" spans="1:13" x14ac:dyDescent="0.25">
      <c r="A235" s="7">
        <v>41</v>
      </c>
      <c r="B235" s="4" t="s">
        <v>314</v>
      </c>
      <c r="C235" s="12">
        <v>1.2</v>
      </c>
      <c r="D235" s="17">
        <f>VLOOKUP(E235,Sheet2!A:C,2,FALSE)</f>
        <v>40</v>
      </c>
      <c r="E235" s="15" t="s">
        <v>489</v>
      </c>
      <c r="F235" s="17">
        <v>24</v>
      </c>
      <c r="G235" s="5" t="str">
        <f t="shared" si="9"/>
        <v>MULT</v>
      </c>
      <c r="H235" s="9">
        <v>3</v>
      </c>
      <c r="I235" s="9"/>
      <c r="J235" s="4" t="str">
        <f t="shared" si="10"/>
        <v>YES</v>
      </c>
      <c r="K235" s="4" t="s">
        <v>315</v>
      </c>
      <c r="L235" s="6" t="s">
        <v>775</v>
      </c>
      <c r="M235" s="6" t="str">
        <f t="shared" si="11"/>
        <v>'MAT-24-3' =&gt; array('N'=&gt;'', 'C'=&gt;"Jesus Preaches in the Synagogue", 'F'=&gt;'NT-Gospel-172-Jesus-Preaches-in-the-Synagogue'),</v>
      </c>
    </row>
    <row r="236" spans="1:13" x14ac:dyDescent="0.25">
      <c r="A236" s="14">
        <v>42</v>
      </c>
      <c r="B236" s="15" t="s">
        <v>353</v>
      </c>
      <c r="C236" s="16">
        <v>12</v>
      </c>
      <c r="D236" s="17">
        <f>VLOOKUP(E236,Sheet2!A:C,2,FALSE)</f>
        <v>40</v>
      </c>
      <c r="E236" s="15" t="s">
        <v>489</v>
      </c>
      <c r="F236" s="17">
        <v>24</v>
      </c>
      <c r="G236" s="5" t="str">
        <f t="shared" si="9"/>
        <v>MULT</v>
      </c>
      <c r="H236" s="9">
        <v>4</v>
      </c>
      <c r="I236" s="9"/>
      <c r="J236" s="4" t="str">
        <f t="shared" si="10"/>
        <v>YES</v>
      </c>
      <c r="K236" s="15" t="s">
        <v>354</v>
      </c>
      <c r="L236" s="18" t="s">
        <v>777</v>
      </c>
      <c r="M236" s="6" t="str">
        <f t="shared" si="11"/>
        <v>'MAT-24-4' =&gt; array('N'=&gt;'', 'C'=&gt;"Jesus Preaches to the Multitude", 'F'=&gt;'NT-Gospel-183-Jesus-Preaches-to-the-Multitude'),</v>
      </c>
    </row>
    <row r="237" spans="1:13" x14ac:dyDescent="0.25">
      <c r="A237" s="7">
        <v>41</v>
      </c>
      <c r="B237" s="4" t="s">
        <v>314</v>
      </c>
      <c r="C237" s="12">
        <v>1.2</v>
      </c>
      <c r="D237" s="17">
        <f>VLOOKUP(E237,Sheet2!A:C,2,FALSE)</f>
        <v>40</v>
      </c>
      <c r="E237" s="15" t="s">
        <v>489</v>
      </c>
      <c r="F237" s="17">
        <v>25</v>
      </c>
      <c r="G237" s="5" t="str">
        <f t="shared" si="9"/>
        <v/>
      </c>
      <c r="H237" s="9"/>
      <c r="I237" s="9">
        <v>2</v>
      </c>
      <c r="J237" s="4" t="str">
        <f t="shared" si="10"/>
        <v>YES</v>
      </c>
      <c r="K237" s="4" t="s">
        <v>315</v>
      </c>
      <c r="L237" s="6" t="s">
        <v>775</v>
      </c>
      <c r="M237" s="6" t="str">
        <f t="shared" si="11"/>
        <v>'MAT-25' =&gt; array('N'=&gt;'2', 'C'=&gt;"Jesus Preaches in the Synagogue", 'F'=&gt;'NT-Gospel-172-Jesus-Preaches-in-the-Synagogue'),</v>
      </c>
    </row>
    <row r="238" spans="1:13" x14ac:dyDescent="0.25">
      <c r="A238" s="14">
        <v>42</v>
      </c>
      <c r="B238" s="15" t="s">
        <v>353</v>
      </c>
      <c r="C238" s="16">
        <v>12</v>
      </c>
      <c r="D238" s="17">
        <f>VLOOKUP(E238,Sheet2!A:C,2,FALSE)</f>
        <v>40</v>
      </c>
      <c r="E238" s="15" t="s">
        <v>489</v>
      </c>
      <c r="F238" s="17">
        <v>25</v>
      </c>
      <c r="G238" s="5" t="str">
        <f t="shared" si="9"/>
        <v>MULT</v>
      </c>
      <c r="H238" s="9">
        <v>2</v>
      </c>
      <c r="I238" s="9"/>
      <c r="J238" s="4" t="str">
        <f t="shared" si="10"/>
        <v>YES</v>
      </c>
      <c r="K238" s="15" t="s">
        <v>354</v>
      </c>
      <c r="L238" s="18" t="s">
        <v>777</v>
      </c>
      <c r="M238" s="6" t="str">
        <f t="shared" si="11"/>
        <v>'MAT-25-2' =&gt; array('N'=&gt;'', 'C'=&gt;"Jesus Preaches to the Multitude", 'F'=&gt;'NT-Gospel-183-Jesus-Preaches-to-the-Multitude'),</v>
      </c>
    </row>
    <row r="239" spans="1:13" x14ac:dyDescent="0.25">
      <c r="A239" s="7">
        <v>43</v>
      </c>
      <c r="B239" s="4" t="s">
        <v>388</v>
      </c>
      <c r="C239" s="12">
        <v>13</v>
      </c>
      <c r="D239" s="5">
        <f>VLOOKUP(E239,Sheet2!A:C,2,FALSE)</f>
        <v>40</v>
      </c>
      <c r="E239" s="4" t="s">
        <v>489</v>
      </c>
      <c r="F239" s="5">
        <v>26</v>
      </c>
      <c r="G239" s="5" t="str">
        <f t="shared" si="9"/>
        <v/>
      </c>
      <c r="H239" s="9"/>
      <c r="I239" s="9">
        <v>5</v>
      </c>
      <c r="J239" s="4" t="str">
        <f t="shared" si="10"/>
        <v>YES</v>
      </c>
      <c r="K239" s="4" t="s">
        <v>389</v>
      </c>
      <c r="L239" s="6" t="s">
        <v>793</v>
      </c>
      <c r="M239" s="6" t="str">
        <f t="shared" si="11"/>
        <v>'MAT-26' =&gt; array('N'=&gt;'5', 'C'=&gt;"The Last Supper", 'F'=&gt;'NT-Gospel-202-The-Last-Supper'),</v>
      </c>
    </row>
    <row r="240" spans="1:13" x14ac:dyDescent="0.25">
      <c r="A240" s="7">
        <v>40</v>
      </c>
      <c r="B240" s="4" t="s">
        <v>304</v>
      </c>
      <c r="C240" s="12">
        <v>26</v>
      </c>
      <c r="D240" s="5">
        <f>VLOOKUP(E240,Sheet2!A:C,2,FALSE)</f>
        <v>40</v>
      </c>
      <c r="E240" s="4" t="s">
        <v>489</v>
      </c>
      <c r="F240" s="5">
        <v>26</v>
      </c>
      <c r="G240" s="5" t="str">
        <f t="shared" si="9"/>
        <v>MULT</v>
      </c>
      <c r="H240" s="9">
        <v>2</v>
      </c>
      <c r="I240" s="9"/>
      <c r="J240" s="4" t="str">
        <f t="shared" si="10"/>
        <v/>
      </c>
      <c r="K240" s="4" t="s">
        <v>305</v>
      </c>
      <c r="L240" s="6" t="s">
        <v>794</v>
      </c>
      <c r="M240" s="6" t="str">
        <f t="shared" si="11"/>
        <v>'MAT-26-2' =&gt; array('N'=&gt;'', 'C'=&gt;"Jesus Prays in the Garden", 'F'=&gt;'NT-Gospel-203-Jesus-Prays-in-the-Garden'),</v>
      </c>
    </row>
    <row r="241" spans="1:13" x14ac:dyDescent="0.25">
      <c r="A241" s="14">
        <v>42</v>
      </c>
      <c r="B241" s="15" t="s">
        <v>365</v>
      </c>
      <c r="C241" s="16">
        <v>22</v>
      </c>
      <c r="D241" s="17">
        <f>VLOOKUP(E241,Sheet2!A:C,2,FALSE)</f>
        <v>40</v>
      </c>
      <c r="E241" s="15" t="s">
        <v>489</v>
      </c>
      <c r="F241" s="17">
        <v>26</v>
      </c>
      <c r="G241" s="5" t="str">
        <f t="shared" si="9"/>
        <v>MULT</v>
      </c>
      <c r="H241" s="9">
        <v>3</v>
      </c>
      <c r="I241" s="9"/>
      <c r="J241" s="4" t="str">
        <f t="shared" si="10"/>
        <v>YES</v>
      </c>
      <c r="K241" s="15" t="s">
        <v>366</v>
      </c>
      <c r="L241" s="18" t="s">
        <v>795</v>
      </c>
      <c r="M241" s="6" t="str">
        <f t="shared" si="11"/>
        <v>'MAT-26-3' =&gt; array('N'=&gt;'', 'C'=&gt;"An Angel Appears to Jesus in the Garden", 'F'=&gt;'NT-Gospel-204-An-Angel-Appears-to-Jesus-in-the-Garden'),</v>
      </c>
    </row>
    <row r="242" spans="1:13" x14ac:dyDescent="0.25">
      <c r="A242" s="7">
        <v>41</v>
      </c>
      <c r="B242" s="4" t="s">
        <v>325</v>
      </c>
      <c r="C242" s="12">
        <v>14</v>
      </c>
      <c r="D242" s="5">
        <f>VLOOKUP(E242,Sheet2!A:C,2,FALSE)</f>
        <v>40</v>
      </c>
      <c r="E242" s="4" t="s">
        <v>489</v>
      </c>
      <c r="F242" s="5">
        <v>26</v>
      </c>
      <c r="G242" s="5" t="str">
        <f t="shared" si="9"/>
        <v>MULT</v>
      </c>
      <c r="H242" s="9">
        <v>4</v>
      </c>
      <c r="I242" s="9"/>
      <c r="J242" s="4" t="str">
        <f t="shared" si="10"/>
        <v>YES</v>
      </c>
      <c r="K242" s="4" t="s">
        <v>326</v>
      </c>
      <c r="L242" s="6" t="s">
        <v>796</v>
      </c>
      <c r="M242" s="6" t="str">
        <f t="shared" si="11"/>
        <v>'MAT-26-4' =&gt; array('N'=&gt;'', 'C'=&gt;"Judas Betrays Jesus", 'F'=&gt;'NT-Gospel-205-Judas-Betrays-Jesus'),</v>
      </c>
    </row>
    <row r="243" spans="1:13" x14ac:dyDescent="0.25">
      <c r="A243" s="7">
        <v>43</v>
      </c>
      <c r="B243" s="4" t="s">
        <v>390</v>
      </c>
      <c r="C243" s="12">
        <v>18</v>
      </c>
      <c r="D243" s="5">
        <f>VLOOKUP(E243,Sheet2!A:C,2,FALSE)</f>
        <v>40</v>
      </c>
      <c r="E243" s="4" t="s">
        <v>489</v>
      </c>
      <c r="F243" s="5">
        <v>26</v>
      </c>
      <c r="G243" s="5" t="str">
        <f t="shared" si="9"/>
        <v>MULT</v>
      </c>
      <c r="H243" s="9">
        <v>5</v>
      </c>
      <c r="I243" s="9"/>
      <c r="J243" s="4" t="str">
        <f t="shared" si="10"/>
        <v>YES</v>
      </c>
      <c r="K243" s="4" t="s">
        <v>391</v>
      </c>
      <c r="L243" s="6" t="s">
        <v>797</v>
      </c>
      <c r="M243" s="6" t="str">
        <f t="shared" si="11"/>
        <v>'MAT-26-5' =&gt; array('N'=&gt;'', 'C'=&gt;"Peter Denies Knowing Jesus", 'F'=&gt;'NT-Gospel-206-Peter-Denies-Knowing-Jesus'),</v>
      </c>
    </row>
    <row r="244" spans="1:13" x14ac:dyDescent="0.25">
      <c r="A244" s="7">
        <v>24</v>
      </c>
      <c r="B244" s="4" t="s">
        <v>252</v>
      </c>
      <c r="C244" s="12">
        <v>1</v>
      </c>
      <c r="D244" s="5">
        <f>VLOOKUP(E244,Sheet2!A:C,2,FALSE)</f>
        <v>40</v>
      </c>
      <c r="E244" s="4" t="s">
        <v>489</v>
      </c>
      <c r="F244" s="5">
        <v>27</v>
      </c>
      <c r="G244" s="5" t="str">
        <f t="shared" si="9"/>
        <v/>
      </c>
      <c r="H244" s="9"/>
      <c r="I244" s="9">
        <v>14</v>
      </c>
      <c r="J244" s="4" t="str">
        <f t="shared" si="10"/>
        <v>YES</v>
      </c>
      <c r="K244" s="4" t="s">
        <v>253</v>
      </c>
      <c r="L244" s="6" t="s">
        <v>752</v>
      </c>
      <c r="M244" s="6" t="str">
        <f t="shared" si="11"/>
        <v>'MAT-27' =&gt; array('N'=&gt;'14', 'C'=&gt;"The Prophet Jeremiah", 'F'=&gt;'Hebrew-OT-114-The-Prophet-Jeremiah'),</v>
      </c>
    </row>
    <row r="245" spans="1:13" x14ac:dyDescent="0.25">
      <c r="A245" s="7">
        <v>41</v>
      </c>
      <c r="B245" s="4" t="s">
        <v>327</v>
      </c>
      <c r="C245" s="12">
        <v>15.1</v>
      </c>
      <c r="D245" s="5">
        <f>VLOOKUP(E245,Sheet2!A:C,2,FALSE)</f>
        <v>40</v>
      </c>
      <c r="E245" s="4" t="s">
        <v>489</v>
      </c>
      <c r="F245" s="5">
        <v>27</v>
      </c>
      <c r="G245" s="5" t="str">
        <f t="shared" si="9"/>
        <v>MULT</v>
      </c>
      <c r="H245" s="9">
        <v>2</v>
      </c>
      <c r="I245" s="9"/>
      <c r="J245" s="4" t="str">
        <f t="shared" si="10"/>
        <v>YES</v>
      </c>
      <c r="K245" s="4" t="s">
        <v>450</v>
      </c>
      <c r="L245" s="6" t="s">
        <v>798</v>
      </c>
      <c r="M245" s="6" t="str">
        <f t="shared" si="11"/>
        <v>'MAT-27-2' =&gt; array('N'=&gt;'', 'C'=&gt;"Jesus is Scourged", 'F'=&gt;'NT-Gospel-207-Jesus-is-Scourged'),</v>
      </c>
    </row>
    <row r="246" spans="1:13" x14ac:dyDescent="0.25">
      <c r="A246" s="7">
        <v>40</v>
      </c>
      <c r="B246" s="4" t="s">
        <v>306</v>
      </c>
      <c r="C246" s="12">
        <v>27.1</v>
      </c>
      <c r="D246" s="5">
        <f>VLOOKUP(E246,Sheet2!A:C,2,FALSE)</f>
        <v>40</v>
      </c>
      <c r="E246" s="4" t="s">
        <v>489</v>
      </c>
      <c r="F246" s="5">
        <v>27</v>
      </c>
      <c r="G246" s="5" t="str">
        <f t="shared" si="9"/>
        <v>MULT</v>
      </c>
      <c r="H246" s="9">
        <v>3</v>
      </c>
      <c r="I246" s="9"/>
      <c r="J246" s="4" t="str">
        <f t="shared" si="10"/>
        <v/>
      </c>
      <c r="K246" s="4" t="s">
        <v>448</v>
      </c>
      <c r="L246" s="6" t="s">
        <v>799</v>
      </c>
      <c r="M246" s="6" t="str">
        <f t="shared" si="11"/>
        <v>'MAT-27-3' =&gt; array('N'=&gt;'', 'C'=&gt;"Jesus is Crowned with Thorns", 'F'=&gt;'NT-Gospel-208-Jesus-is-Crowned-with-Thorns'),</v>
      </c>
    </row>
    <row r="247" spans="1:13" x14ac:dyDescent="0.25">
      <c r="A247" s="7">
        <v>40</v>
      </c>
      <c r="B247" s="4" t="s">
        <v>307</v>
      </c>
      <c r="C247" s="12">
        <v>27.2</v>
      </c>
      <c r="D247" s="5">
        <f>VLOOKUP(E247,Sheet2!A:C,2,FALSE)</f>
        <v>40</v>
      </c>
      <c r="E247" s="4" t="s">
        <v>489</v>
      </c>
      <c r="F247" s="5">
        <v>27</v>
      </c>
      <c r="G247" s="5" t="str">
        <f t="shared" si="9"/>
        <v>MULT</v>
      </c>
      <c r="H247" s="9">
        <v>4</v>
      </c>
      <c r="I247" s="9"/>
      <c r="J247" s="4" t="str">
        <f t="shared" si="10"/>
        <v/>
      </c>
      <c r="K247" s="4" t="s">
        <v>449</v>
      </c>
      <c r="L247" s="6" t="s">
        <v>800</v>
      </c>
      <c r="M247" s="6" t="str">
        <f t="shared" si="11"/>
        <v>'MAT-27-4' =&gt; array('N'=&gt;'', 'C'=&gt;"Jesus is Mocked", 'F'=&gt;'NT-Gospel-209-Jesus-is-Mocked'),</v>
      </c>
    </row>
    <row r="248" spans="1:13" x14ac:dyDescent="0.25">
      <c r="A248" s="7">
        <v>43</v>
      </c>
      <c r="B248" s="4" t="s">
        <v>392</v>
      </c>
      <c r="C248" s="12">
        <v>19.100000000000001</v>
      </c>
      <c r="D248" s="5">
        <f>VLOOKUP(E248,Sheet2!A:C,2,FALSE)</f>
        <v>40</v>
      </c>
      <c r="E248" s="4" t="s">
        <v>489</v>
      </c>
      <c r="F248" s="5">
        <v>27</v>
      </c>
      <c r="G248" s="5" t="str">
        <f t="shared" si="9"/>
        <v>MULT</v>
      </c>
      <c r="H248" s="9">
        <v>5</v>
      </c>
      <c r="I248" s="9"/>
      <c r="J248" s="4" t="str">
        <f t="shared" si="10"/>
        <v>YES</v>
      </c>
      <c r="K248" s="4" t="s">
        <v>453</v>
      </c>
      <c r="L248" s="6" t="s">
        <v>801</v>
      </c>
      <c r="M248" s="6" t="str">
        <f t="shared" si="11"/>
        <v>'MAT-27-5' =&gt; array('N'=&gt;'', 'C'=&gt;"Jesus is Presented to the People", 'F'=&gt;'NT-Gospel-210-Jesus-is-Presented-to-the-People'),</v>
      </c>
    </row>
    <row r="249" spans="1:13" x14ac:dyDescent="0.25">
      <c r="A249" s="7">
        <v>41</v>
      </c>
      <c r="B249" s="4" t="s">
        <v>328</v>
      </c>
      <c r="C249" s="12">
        <v>15.2</v>
      </c>
      <c r="D249" s="5">
        <f>VLOOKUP(E249,Sheet2!A:C,2,FALSE)</f>
        <v>40</v>
      </c>
      <c r="E249" s="4" t="s">
        <v>489</v>
      </c>
      <c r="F249" s="5">
        <v>27</v>
      </c>
      <c r="G249" s="5" t="str">
        <f t="shared" si="9"/>
        <v>MULT</v>
      </c>
      <c r="H249" s="9">
        <v>6</v>
      </c>
      <c r="I249" s="9"/>
      <c r="J249" s="4" t="str">
        <f t="shared" si="10"/>
        <v>YES</v>
      </c>
      <c r="K249" s="4" t="s">
        <v>329</v>
      </c>
      <c r="L249" s="6" t="s">
        <v>802</v>
      </c>
      <c r="M249" s="6" t="str">
        <f t="shared" si="11"/>
        <v>'MAT-27-6' =&gt; array('N'=&gt;'', 'C'=&gt;"Jesus Falls Beneath the Cross", 'F'=&gt;'NT-Gospel-211-Jesus-Falls-Beneath-the-Cross'),</v>
      </c>
    </row>
    <row r="250" spans="1:13" x14ac:dyDescent="0.25">
      <c r="A250" s="7">
        <v>42</v>
      </c>
      <c r="B250" s="4" t="s">
        <v>367</v>
      </c>
      <c r="C250" s="12">
        <v>23.1</v>
      </c>
      <c r="D250" s="5">
        <f>VLOOKUP(E250,Sheet2!A:C,2,FALSE)</f>
        <v>40</v>
      </c>
      <c r="E250" s="4" t="s">
        <v>489</v>
      </c>
      <c r="F250" s="5">
        <v>27</v>
      </c>
      <c r="G250" s="5" t="str">
        <f t="shared" si="9"/>
        <v>MULT</v>
      </c>
      <c r="H250" s="9">
        <v>7</v>
      </c>
      <c r="I250" s="9"/>
      <c r="J250" s="4" t="str">
        <f t="shared" si="10"/>
        <v>YES</v>
      </c>
      <c r="K250" s="4" t="s">
        <v>368</v>
      </c>
      <c r="L250" s="6" t="s">
        <v>803</v>
      </c>
      <c r="M250" s="6" t="str">
        <f t="shared" si="11"/>
        <v>'MAT-27-7' =&gt; array('N'=&gt;'', 'C'=&gt;"Jesus Arrives at Calvary", 'F'=&gt;'NT-Gospel-212-Jesus-Arrives-at-Calvary'),</v>
      </c>
    </row>
    <row r="251" spans="1:13" x14ac:dyDescent="0.25">
      <c r="A251" s="7">
        <v>43</v>
      </c>
      <c r="B251" s="4" t="s">
        <v>393</v>
      </c>
      <c r="C251" s="12">
        <v>19.2</v>
      </c>
      <c r="D251" s="5">
        <f>VLOOKUP(E251,Sheet2!A:C,2,FALSE)</f>
        <v>40</v>
      </c>
      <c r="E251" s="4" t="s">
        <v>489</v>
      </c>
      <c r="F251" s="5">
        <v>27</v>
      </c>
      <c r="G251" s="5" t="str">
        <f t="shared" si="9"/>
        <v>MULT</v>
      </c>
      <c r="H251" s="9">
        <v>8</v>
      </c>
      <c r="I251" s="9"/>
      <c r="J251" s="4" t="str">
        <f t="shared" si="10"/>
        <v>YES</v>
      </c>
      <c r="K251" s="4" t="s">
        <v>454</v>
      </c>
      <c r="L251" s="6" t="s">
        <v>804</v>
      </c>
      <c r="M251" s="6" t="str">
        <f t="shared" si="11"/>
        <v>'MAT-27-8' =&gt; array('N'=&gt;'', 'C'=&gt;"Jesus is Nailed to the Cross", 'F'=&gt;'NT-Gospel-213-Jesus-is-Nailed-to-the-Cross'),</v>
      </c>
    </row>
    <row r="252" spans="1:13" x14ac:dyDescent="0.25">
      <c r="A252" s="7">
        <v>42</v>
      </c>
      <c r="B252" s="4" t="s">
        <v>369</v>
      </c>
      <c r="C252" s="12">
        <v>23.2</v>
      </c>
      <c r="D252" s="5">
        <f>VLOOKUP(E252,Sheet2!A:C,2,FALSE)</f>
        <v>40</v>
      </c>
      <c r="E252" s="4" t="s">
        <v>489</v>
      </c>
      <c r="F252" s="5">
        <v>27</v>
      </c>
      <c r="G252" s="5" t="str">
        <f t="shared" si="9"/>
        <v>MULT</v>
      </c>
      <c r="H252" s="9">
        <v>9</v>
      </c>
      <c r="I252" s="9"/>
      <c r="J252" s="4" t="str">
        <f t="shared" si="10"/>
        <v>YES</v>
      </c>
      <c r="K252" s="4" t="s">
        <v>452</v>
      </c>
      <c r="L252" s="6" t="s">
        <v>805</v>
      </c>
      <c r="M252" s="6" t="str">
        <f t="shared" si="11"/>
        <v>'MAT-27-9' =&gt; array('N'=&gt;'', 'C'=&gt;"The Cross is Lifted Up", 'F'=&gt;'NT-Gospel-214-The-Cross-is-Lifted-Up'),</v>
      </c>
    </row>
    <row r="253" spans="1:13" x14ac:dyDescent="0.25">
      <c r="A253" s="7">
        <v>40</v>
      </c>
      <c r="B253" s="4" t="s">
        <v>308</v>
      </c>
      <c r="C253" s="12">
        <v>27.3</v>
      </c>
      <c r="D253" s="5">
        <f>VLOOKUP(E253,Sheet2!A:C,2,FALSE)</f>
        <v>40</v>
      </c>
      <c r="E253" s="4" t="s">
        <v>489</v>
      </c>
      <c r="F253" s="5">
        <v>27</v>
      </c>
      <c r="G253" s="5" t="str">
        <f t="shared" si="9"/>
        <v>MULT</v>
      </c>
      <c r="H253" s="9">
        <v>10</v>
      </c>
      <c r="I253" s="9"/>
      <c r="J253" s="4" t="str">
        <f t="shared" si="10"/>
        <v/>
      </c>
      <c r="K253" s="4" t="s">
        <v>309</v>
      </c>
      <c r="L253" s="6" t="s">
        <v>806</v>
      </c>
      <c r="M253" s="6" t="str">
        <f t="shared" si="11"/>
        <v>'MAT-27-10' =&gt; array('N'=&gt;'', 'C'=&gt;"The Crucifixion of Jesus and Two Criminals", 'F'=&gt;'NT-Gospel-215-The-Crucifixion-of-Jesus-and-Two-Criminals'),</v>
      </c>
    </row>
    <row r="254" spans="1:13" x14ac:dyDescent="0.25">
      <c r="A254" s="7">
        <v>42</v>
      </c>
      <c r="B254" s="4" t="s">
        <v>370</v>
      </c>
      <c r="C254" s="12">
        <v>23.3</v>
      </c>
      <c r="D254" s="5">
        <f>VLOOKUP(E254,Sheet2!A:C,2,FALSE)</f>
        <v>40</v>
      </c>
      <c r="E254" s="4" t="s">
        <v>489</v>
      </c>
      <c r="F254" s="5">
        <v>27</v>
      </c>
      <c r="G254" s="5" t="str">
        <f t="shared" si="9"/>
        <v>MULT</v>
      </c>
      <c r="H254" s="9">
        <v>11</v>
      </c>
      <c r="I254" s="9"/>
      <c r="J254" s="4" t="str">
        <f t="shared" si="10"/>
        <v>YES</v>
      </c>
      <c r="K254" s="4" t="s">
        <v>371</v>
      </c>
      <c r="L254" s="6" t="s">
        <v>807</v>
      </c>
      <c r="M254" s="6" t="str">
        <f t="shared" si="11"/>
        <v>'MAT-27-11' =&gt; array('N'=&gt;'', 'C'=&gt;"Darkness at the Crucifixion", 'F'=&gt;'NT-Gospel-216-Darkness-at-the-Crucifixion'),</v>
      </c>
    </row>
    <row r="255" spans="1:13" x14ac:dyDescent="0.25">
      <c r="A255" s="7">
        <v>41</v>
      </c>
      <c r="B255" s="4" t="s">
        <v>330</v>
      </c>
      <c r="C255" s="12">
        <v>15.3</v>
      </c>
      <c r="D255" s="5">
        <f>VLOOKUP(E255,Sheet2!A:C,2,FALSE)</f>
        <v>40</v>
      </c>
      <c r="E255" s="4" t="s">
        <v>489</v>
      </c>
      <c r="F255" s="5">
        <v>27</v>
      </c>
      <c r="G255" s="5" t="str">
        <f t="shared" si="9"/>
        <v>MULT</v>
      </c>
      <c r="H255" s="9">
        <v>12</v>
      </c>
      <c r="I255" s="9"/>
      <c r="J255" s="4" t="str">
        <f t="shared" si="10"/>
        <v>YES</v>
      </c>
      <c r="K255" s="4" t="s">
        <v>451</v>
      </c>
      <c r="L255" s="6" t="s">
        <v>808</v>
      </c>
      <c r="M255" s="6" t="str">
        <f t="shared" si="11"/>
        <v>'MAT-27-12' =&gt; array('N'=&gt;'', 'C'=&gt;"Jesus' Body is Removed from the Cross", 'F'=&gt;'NT-Gospel-217-Jesus-Body-is-Removed-from-the-Cross'),</v>
      </c>
    </row>
    <row r="256" spans="1:13" x14ac:dyDescent="0.25">
      <c r="A256" s="7">
        <v>43</v>
      </c>
      <c r="B256" s="4" t="s">
        <v>394</v>
      </c>
      <c r="C256" s="12">
        <v>19.3</v>
      </c>
      <c r="D256" s="5">
        <f>VLOOKUP(E256,Sheet2!A:C,2,FALSE)</f>
        <v>40</v>
      </c>
      <c r="E256" s="4" t="s">
        <v>489</v>
      </c>
      <c r="F256" s="5">
        <v>27</v>
      </c>
      <c r="G256" s="5" t="str">
        <f t="shared" si="9"/>
        <v>MULT</v>
      </c>
      <c r="H256" s="9">
        <v>13</v>
      </c>
      <c r="I256" s="9"/>
      <c r="J256" s="4" t="str">
        <f t="shared" si="10"/>
        <v>YES</v>
      </c>
      <c r="K256" s="4" t="s">
        <v>395</v>
      </c>
      <c r="L256" s="6" t="s">
        <v>809</v>
      </c>
      <c r="M256" s="6" t="str">
        <f t="shared" si="11"/>
        <v>'MAT-27-13' =&gt; array('N'=&gt;'', 'C'=&gt;"Disciples Mourn over the Dead Jesus", 'F'=&gt;'NT-Gospel-218-Disciples-Mourn-over-the-Dead-Jesus'),</v>
      </c>
    </row>
    <row r="257" spans="1:13" x14ac:dyDescent="0.25">
      <c r="A257" s="7">
        <v>43</v>
      </c>
      <c r="B257" s="4" t="s">
        <v>396</v>
      </c>
      <c r="C257" s="12">
        <v>19.399999999999999</v>
      </c>
      <c r="D257" s="5">
        <f>VLOOKUP(E257,Sheet2!A:C,2,FALSE)</f>
        <v>40</v>
      </c>
      <c r="E257" s="4" t="s">
        <v>489</v>
      </c>
      <c r="F257" s="5">
        <v>27</v>
      </c>
      <c r="G257" s="5" t="str">
        <f t="shared" si="9"/>
        <v>MULT</v>
      </c>
      <c r="H257" s="9">
        <v>14</v>
      </c>
      <c r="I257" s="9"/>
      <c r="J257" s="4" t="str">
        <f t="shared" si="10"/>
        <v>YES</v>
      </c>
      <c r="K257" s="4" t="s">
        <v>455</v>
      </c>
      <c r="L257" s="6" t="s">
        <v>810</v>
      </c>
      <c r="M257" s="6" t="str">
        <f t="shared" si="11"/>
        <v>'MAT-27-14' =&gt; array('N'=&gt;'', 'C'=&gt;"Jesus is Buried in the Tomb", 'F'=&gt;'NT-Gospel-219-Jesus-is-Buried-in-the-Tomb'),</v>
      </c>
    </row>
    <row r="258" spans="1:13" x14ac:dyDescent="0.25">
      <c r="A258" s="7">
        <v>40</v>
      </c>
      <c r="B258" s="4" t="s">
        <v>310</v>
      </c>
      <c r="C258" s="12">
        <v>28</v>
      </c>
      <c r="D258" s="5">
        <f>VLOOKUP(E258,Sheet2!A:C,2,FALSE)</f>
        <v>40</v>
      </c>
      <c r="E258" s="4" t="s">
        <v>489</v>
      </c>
      <c r="F258" s="5">
        <v>28</v>
      </c>
      <c r="G258" s="5" t="str">
        <f t="shared" si="9"/>
        <v/>
      </c>
      <c r="H258" s="9"/>
      <c r="I258" s="9">
        <v>2</v>
      </c>
      <c r="J258" s="4" t="str">
        <f t="shared" si="10"/>
        <v/>
      </c>
      <c r="K258" s="4" t="s">
        <v>311</v>
      </c>
      <c r="L258" s="6" t="s">
        <v>811</v>
      </c>
      <c r="M258" s="6" t="str">
        <f t="shared" si="11"/>
        <v>'MAT-28' =&gt; array('N'=&gt;'2', 'C'=&gt;"The Angel and Women at the Empty Tomb", 'F'=&gt;'NT-Gospel-220-The-Angel-and-Women-at-the-Empty-Tomb'),</v>
      </c>
    </row>
    <row r="259" spans="1:13" x14ac:dyDescent="0.25">
      <c r="A259" s="7">
        <v>42</v>
      </c>
      <c r="B259" s="4" t="s">
        <v>374</v>
      </c>
      <c r="C259" s="12">
        <v>24.2</v>
      </c>
      <c r="D259" s="5">
        <f>VLOOKUP(E259,Sheet2!A:C,2,FALSE)</f>
        <v>40</v>
      </c>
      <c r="E259" s="4" t="s">
        <v>489</v>
      </c>
      <c r="F259" s="5">
        <v>28</v>
      </c>
      <c r="G259" s="5" t="str">
        <f t="shared" ref="G259:G322" si="12">IF(E259&lt;&gt;E258,"",IF(F259&lt;&gt;F258,"","MULT"))</f>
        <v>MULT</v>
      </c>
      <c r="H259" s="9">
        <v>2</v>
      </c>
      <c r="I259" s="9"/>
      <c r="J259" s="4" t="str">
        <f t="shared" ref="J259:J322" si="13">IF(A259&lt;&gt;D259,"YES",IF(INT(C259)&lt;&gt;F259,"YES",""))</f>
        <v>YES</v>
      </c>
      <c r="K259" s="4" t="s">
        <v>375</v>
      </c>
      <c r="L259" s="6" t="s">
        <v>812</v>
      </c>
      <c r="M259" s="6" t="str">
        <f t="shared" ref="M259:M322" si="14">"'"&amp;E259&amp;"-"&amp;F259&amp;IF(H259="","","-")&amp;H259&amp;"' =&gt; array('N'=&gt;'"&amp;I259&amp;"', 'C'=&gt;"""&amp;K259&amp;""", 'F'=&gt;'"&amp;L259&amp;"'),"</f>
        <v>'MAT-28-2' =&gt; array('N'=&gt;'', 'C'=&gt;"Jesus Ascends to Heaven", 'F'=&gt;'NT-Gospel-223-Jesus-Ascends-to-Heaven'),</v>
      </c>
    </row>
    <row r="260" spans="1:13" x14ac:dyDescent="0.25">
      <c r="A260" s="7">
        <v>41</v>
      </c>
      <c r="B260" s="4" t="s">
        <v>312</v>
      </c>
      <c r="C260" s="12">
        <v>1.1000000000000001</v>
      </c>
      <c r="D260" s="5">
        <f>VLOOKUP(E260,Sheet2!A:C,2,FALSE)</f>
        <v>41</v>
      </c>
      <c r="E260" s="4" t="s">
        <v>488</v>
      </c>
      <c r="F260" s="5">
        <v>1</v>
      </c>
      <c r="G260" s="5" t="str">
        <f t="shared" si="12"/>
        <v/>
      </c>
      <c r="H260" s="9"/>
      <c r="I260" s="9">
        <v>7</v>
      </c>
      <c r="J260" s="4" t="str">
        <f t="shared" si="13"/>
        <v/>
      </c>
      <c r="K260" s="4" t="s">
        <v>313</v>
      </c>
      <c r="L260" s="6" t="s">
        <v>772</v>
      </c>
      <c r="M260" s="6" t="str">
        <f t="shared" si="14"/>
        <v>'MAR-1' =&gt; array('N'=&gt;'7', 'C'=&gt;"John the Baptist Preaches in the Wilderness", 'F'=&gt;'NT-Gospel-167-John-the-Baptist-Preaches-in-the-Wilderness'),</v>
      </c>
    </row>
    <row r="261" spans="1:13" x14ac:dyDescent="0.25">
      <c r="A261" s="7">
        <v>43</v>
      </c>
      <c r="B261" s="4" t="s">
        <v>376</v>
      </c>
      <c r="C261" s="12">
        <v>1</v>
      </c>
      <c r="D261" s="5">
        <f>VLOOKUP(E261,Sheet2!A:C,2,FALSE)</f>
        <v>41</v>
      </c>
      <c r="E261" s="4" t="s">
        <v>488</v>
      </c>
      <c r="F261" s="5">
        <v>1</v>
      </c>
      <c r="G261" s="5" t="str">
        <f t="shared" si="12"/>
        <v>MULT</v>
      </c>
      <c r="H261" s="9">
        <v>2</v>
      </c>
      <c r="I261" s="9"/>
      <c r="J261" s="4" t="str">
        <f t="shared" si="13"/>
        <v>YES</v>
      </c>
      <c r="K261" s="4" t="s">
        <v>377</v>
      </c>
      <c r="L261" s="6" t="s">
        <v>773</v>
      </c>
      <c r="M261" s="6" t="str">
        <f t="shared" si="14"/>
        <v>'MAR-1-2' =&gt; array('N'=&gt;'', 'C'=&gt;"The Baptism of Jesus", 'F'=&gt;'NT-Gospel-168-The-Baptism-of-Jesus'),</v>
      </c>
    </row>
    <row r="262" spans="1:13" x14ac:dyDescent="0.25">
      <c r="A262" s="7">
        <v>42</v>
      </c>
      <c r="B262" s="4" t="s">
        <v>337</v>
      </c>
      <c r="C262" s="12">
        <v>4.0999999999999996</v>
      </c>
      <c r="D262" s="5">
        <f>VLOOKUP(E262,Sheet2!A:C,2,FALSE)</f>
        <v>41</v>
      </c>
      <c r="E262" s="4" t="s">
        <v>488</v>
      </c>
      <c r="F262" s="5">
        <v>1</v>
      </c>
      <c r="G262" s="5" t="str">
        <f t="shared" si="12"/>
        <v>MULT</v>
      </c>
      <c r="H262" s="9">
        <v>3</v>
      </c>
      <c r="I262" s="9"/>
      <c r="J262" s="4" t="str">
        <f t="shared" si="13"/>
        <v>YES</v>
      </c>
      <c r="K262" s="4" t="s">
        <v>338</v>
      </c>
      <c r="L262" s="6" t="s">
        <v>774</v>
      </c>
      <c r="M262" s="6" t="str">
        <f t="shared" si="14"/>
        <v>'MAR-1-3' =&gt; array('N'=&gt;'', 'C'=&gt;"The Temptation of Jesus", 'F'=&gt;'NT-Gospel-169-The-Temptation-of-Jesus'),</v>
      </c>
    </row>
    <row r="263" spans="1:13" x14ac:dyDescent="0.25">
      <c r="A263" s="7">
        <v>41</v>
      </c>
      <c r="B263" s="4" t="s">
        <v>314</v>
      </c>
      <c r="C263" s="12">
        <v>1.2</v>
      </c>
      <c r="D263" s="17">
        <f>VLOOKUP(E263,Sheet2!A:C,2,FALSE)</f>
        <v>41</v>
      </c>
      <c r="E263" s="15" t="s">
        <v>488</v>
      </c>
      <c r="F263" s="17">
        <v>1</v>
      </c>
      <c r="G263" s="5" t="str">
        <f t="shared" si="12"/>
        <v>MULT</v>
      </c>
      <c r="H263" s="9">
        <v>4</v>
      </c>
      <c r="I263" s="9"/>
      <c r="J263" s="4" t="str">
        <f t="shared" si="13"/>
        <v/>
      </c>
      <c r="K263" s="4" t="s">
        <v>315</v>
      </c>
      <c r="L263" s="6" t="s">
        <v>775</v>
      </c>
      <c r="M263" s="6" t="str">
        <f t="shared" si="14"/>
        <v>'MAR-1-4' =&gt; array('N'=&gt;'', 'C'=&gt;"Jesus Preaches in the Synagogue", 'F'=&gt;'NT-Gospel-172-Jesus-Preaches-in-the-Synagogue'),</v>
      </c>
    </row>
    <row r="264" spans="1:13" x14ac:dyDescent="0.25">
      <c r="A264" s="7">
        <v>42</v>
      </c>
      <c r="B264" s="4" t="s">
        <v>339</v>
      </c>
      <c r="C264" s="12">
        <v>4.2</v>
      </c>
      <c r="D264" s="5">
        <f>VLOOKUP(E264,Sheet2!A:C,2,FALSE)</f>
        <v>41</v>
      </c>
      <c r="E264" s="4" t="s">
        <v>488</v>
      </c>
      <c r="F264" s="5">
        <v>1</v>
      </c>
      <c r="G264" s="5" t="str">
        <f t="shared" si="12"/>
        <v>MULT</v>
      </c>
      <c r="H264" s="9">
        <v>5</v>
      </c>
      <c r="I264" s="9"/>
      <c r="J264" s="4" t="str">
        <f t="shared" si="13"/>
        <v>YES</v>
      </c>
      <c r="K264" s="4" t="s">
        <v>340</v>
      </c>
      <c r="L264" s="6" t="s">
        <v>776</v>
      </c>
      <c r="M264" s="6" t="str">
        <f t="shared" si="14"/>
        <v>'MAR-1-5' =&gt; array('N'=&gt;'', 'C'=&gt;"Jesus Heals a Demoniac", 'F'=&gt;'NT-Gospel-173-Jesus-Heals-a-Demoniac'),</v>
      </c>
    </row>
    <row r="265" spans="1:13" x14ac:dyDescent="0.25">
      <c r="A265" s="14">
        <v>42</v>
      </c>
      <c r="B265" s="15" t="s">
        <v>353</v>
      </c>
      <c r="C265" s="16">
        <v>12</v>
      </c>
      <c r="D265" s="17">
        <f>VLOOKUP(E265,Sheet2!A:C,2,FALSE)</f>
        <v>41</v>
      </c>
      <c r="E265" s="15" t="s">
        <v>488</v>
      </c>
      <c r="F265" s="17">
        <v>1</v>
      </c>
      <c r="G265" s="5" t="str">
        <f t="shared" si="12"/>
        <v>MULT</v>
      </c>
      <c r="H265" s="9">
        <v>6</v>
      </c>
      <c r="I265" s="9"/>
      <c r="J265" s="4" t="str">
        <f t="shared" si="13"/>
        <v>YES</v>
      </c>
      <c r="K265" s="15" t="s">
        <v>354</v>
      </c>
      <c r="L265" s="18" t="s">
        <v>777</v>
      </c>
      <c r="M265" s="6" t="str">
        <f t="shared" si="14"/>
        <v>'MAR-1-6' =&gt; array('N'=&gt;'', 'C'=&gt;"Jesus Preaches to the Multitude", 'F'=&gt;'NT-Gospel-183-Jesus-Preaches-to-the-Multitude'),</v>
      </c>
    </row>
    <row r="266" spans="1:13" x14ac:dyDescent="0.25">
      <c r="A266" s="7">
        <v>40</v>
      </c>
      <c r="B266" s="4" t="s">
        <v>296</v>
      </c>
      <c r="C266" s="12">
        <v>15</v>
      </c>
      <c r="D266" s="5">
        <f>VLOOKUP(E266,Sheet2!A:C,2,FALSE)</f>
        <v>41</v>
      </c>
      <c r="E266" s="4" t="s">
        <v>488</v>
      </c>
      <c r="F266" s="5">
        <v>1</v>
      </c>
      <c r="G266" s="5" t="str">
        <f t="shared" si="12"/>
        <v>MULT</v>
      </c>
      <c r="H266" s="9">
        <v>7</v>
      </c>
      <c r="I266" s="9"/>
      <c r="J266" s="4" t="str">
        <f t="shared" si="13"/>
        <v>YES</v>
      </c>
      <c r="K266" s="4" t="s">
        <v>297</v>
      </c>
      <c r="L266" s="6" t="s">
        <v>778</v>
      </c>
      <c r="M266" s="6" t="str">
        <f t="shared" si="14"/>
        <v>'MAR-1-7' =&gt; array('N'=&gt;'', 'C'=&gt;"Jesus Heals the Sick", 'F'=&gt;'NT-Gospel-186-Jesus-Heals-the-Sick'),</v>
      </c>
    </row>
    <row r="267" spans="1:13" x14ac:dyDescent="0.25">
      <c r="A267" s="7">
        <v>41</v>
      </c>
      <c r="B267" s="4" t="s">
        <v>314</v>
      </c>
      <c r="C267" s="12">
        <v>1.2</v>
      </c>
      <c r="D267" s="17">
        <f>VLOOKUP(E267,Sheet2!A:C,2,FALSE)</f>
        <v>41</v>
      </c>
      <c r="E267" s="15" t="s">
        <v>488</v>
      </c>
      <c r="F267" s="17">
        <v>2</v>
      </c>
      <c r="G267" s="5" t="str">
        <f t="shared" si="12"/>
        <v/>
      </c>
      <c r="H267" s="9"/>
      <c r="I267" s="9">
        <v>3</v>
      </c>
      <c r="J267" s="4" t="str">
        <f t="shared" si="13"/>
        <v>YES</v>
      </c>
      <c r="K267" s="4" t="s">
        <v>315</v>
      </c>
      <c r="L267" s="6" t="s">
        <v>775</v>
      </c>
      <c r="M267" s="6" t="str">
        <f t="shared" si="14"/>
        <v>'MAR-2' =&gt; array('N'=&gt;'3', 'C'=&gt;"Jesus Preaches in the Synagogue", 'F'=&gt;'NT-Gospel-172-Jesus-Preaches-in-the-Synagogue'),</v>
      </c>
    </row>
    <row r="268" spans="1:13" x14ac:dyDescent="0.25">
      <c r="A268" s="7">
        <v>41</v>
      </c>
      <c r="B268" s="4" t="s">
        <v>316</v>
      </c>
      <c r="C268" s="12">
        <v>2</v>
      </c>
      <c r="D268" s="5">
        <f>VLOOKUP(E268,Sheet2!A:C,2,FALSE)</f>
        <v>41</v>
      </c>
      <c r="E268" s="4" t="s">
        <v>488</v>
      </c>
      <c r="F268" s="5">
        <v>2</v>
      </c>
      <c r="G268" s="5" t="str">
        <f t="shared" si="12"/>
        <v>MULT</v>
      </c>
      <c r="H268" s="9">
        <v>2</v>
      </c>
      <c r="I268" s="9"/>
      <c r="J268" s="4" t="str">
        <f t="shared" si="13"/>
        <v/>
      </c>
      <c r="K268" s="4" t="s">
        <v>317</v>
      </c>
      <c r="L268" s="6" t="s">
        <v>781</v>
      </c>
      <c r="M268" s="6" t="str">
        <f t="shared" si="14"/>
        <v>'MAR-2-2' =&gt; array('N'=&gt;'', 'C'=&gt;"The Disciples Pluck Grain on the Sabbath", 'F'=&gt;'NT-Gospel-176-The-Disciples-Pluck-Grain-on-the-Sabbath'),</v>
      </c>
    </row>
    <row r="269" spans="1:13" x14ac:dyDescent="0.25">
      <c r="A269" s="14">
        <v>42</v>
      </c>
      <c r="B269" s="15" t="s">
        <v>353</v>
      </c>
      <c r="C269" s="16">
        <v>12</v>
      </c>
      <c r="D269" s="17">
        <f>VLOOKUP(E269,Sheet2!A:C,2,FALSE)</f>
        <v>41</v>
      </c>
      <c r="E269" s="15" t="s">
        <v>488</v>
      </c>
      <c r="F269" s="17">
        <v>2</v>
      </c>
      <c r="G269" s="5" t="str">
        <f t="shared" si="12"/>
        <v>MULT</v>
      </c>
      <c r="H269" s="9">
        <v>3</v>
      </c>
      <c r="I269" s="9"/>
      <c r="J269" s="4" t="str">
        <f t="shared" si="13"/>
        <v>YES</v>
      </c>
      <c r="K269" s="15" t="s">
        <v>354</v>
      </c>
      <c r="L269" s="18" t="s">
        <v>777</v>
      </c>
      <c r="M269" s="6" t="str">
        <f t="shared" si="14"/>
        <v>'MAR-2-3' =&gt; array('N'=&gt;'', 'C'=&gt;"Jesus Preaches to the Multitude", 'F'=&gt;'NT-Gospel-183-Jesus-Preaches-to-the-Multitude'),</v>
      </c>
    </row>
    <row r="270" spans="1:13" x14ac:dyDescent="0.25">
      <c r="A270" s="7">
        <v>41</v>
      </c>
      <c r="B270" s="4" t="s">
        <v>314</v>
      </c>
      <c r="C270" s="12">
        <v>1.2</v>
      </c>
      <c r="D270" s="17">
        <f>VLOOKUP(E270,Sheet2!A:C,2,FALSE)</f>
        <v>41</v>
      </c>
      <c r="E270" s="15" t="s">
        <v>488</v>
      </c>
      <c r="F270" s="17">
        <v>3</v>
      </c>
      <c r="G270" s="5" t="str">
        <f t="shared" si="12"/>
        <v/>
      </c>
      <c r="H270" s="9"/>
      <c r="I270" s="9">
        <v>3</v>
      </c>
      <c r="J270" s="4" t="str">
        <f t="shared" si="13"/>
        <v>YES</v>
      </c>
      <c r="K270" s="4" t="s">
        <v>315</v>
      </c>
      <c r="L270" s="6" t="s">
        <v>775</v>
      </c>
      <c r="M270" s="6" t="str">
        <f t="shared" si="14"/>
        <v>'MAR-3' =&gt; array('N'=&gt;'3', 'C'=&gt;"Jesus Preaches in the Synagogue", 'F'=&gt;'NT-Gospel-172-Jesus-Preaches-in-the-Synagogue'),</v>
      </c>
    </row>
    <row r="271" spans="1:13" x14ac:dyDescent="0.25">
      <c r="A271" s="7">
        <v>42</v>
      </c>
      <c r="B271" s="4" t="s">
        <v>339</v>
      </c>
      <c r="C271" s="12">
        <v>4.2</v>
      </c>
      <c r="D271" s="5">
        <f>VLOOKUP(E271,Sheet2!A:C,2,FALSE)</f>
        <v>41</v>
      </c>
      <c r="E271" s="4" t="s">
        <v>488</v>
      </c>
      <c r="F271" s="5">
        <v>3</v>
      </c>
      <c r="G271" s="5" t="str">
        <f t="shared" si="12"/>
        <v>MULT</v>
      </c>
      <c r="H271" s="9">
        <v>2</v>
      </c>
      <c r="I271" s="9"/>
      <c r="J271" s="4" t="str">
        <f t="shared" si="13"/>
        <v>YES</v>
      </c>
      <c r="K271" s="4" t="s">
        <v>340</v>
      </c>
      <c r="L271" s="6" t="s">
        <v>776</v>
      </c>
      <c r="M271" s="6" t="str">
        <f t="shared" si="14"/>
        <v>'MAR-3-2' =&gt; array('N'=&gt;'', 'C'=&gt;"Jesus Heals a Demoniac", 'F'=&gt;'NT-Gospel-173-Jesus-Heals-a-Demoniac'),</v>
      </c>
    </row>
    <row r="272" spans="1:13" x14ac:dyDescent="0.25">
      <c r="A272" s="14">
        <v>42</v>
      </c>
      <c r="B272" s="15" t="s">
        <v>353</v>
      </c>
      <c r="C272" s="16">
        <v>12</v>
      </c>
      <c r="D272" s="17">
        <f>VLOOKUP(E272,Sheet2!A:C,2,FALSE)</f>
        <v>41</v>
      </c>
      <c r="E272" s="15" t="s">
        <v>488</v>
      </c>
      <c r="F272" s="17">
        <v>3</v>
      </c>
      <c r="G272" s="5" t="str">
        <f t="shared" si="12"/>
        <v>MULT</v>
      </c>
      <c r="H272" s="9">
        <v>3</v>
      </c>
      <c r="I272" s="9"/>
      <c r="J272" s="4" t="str">
        <f t="shared" si="13"/>
        <v>YES</v>
      </c>
      <c r="K272" s="15" t="s">
        <v>354</v>
      </c>
      <c r="L272" s="18" t="s">
        <v>777</v>
      </c>
      <c r="M272" s="6" t="str">
        <f t="shared" si="14"/>
        <v>'MAR-3-3' =&gt; array('N'=&gt;'', 'C'=&gt;"Jesus Preaches to the Multitude", 'F'=&gt;'NT-Gospel-183-Jesus-Preaches-to-the-Multitude'),</v>
      </c>
    </row>
    <row r="273" spans="1:13" x14ac:dyDescent="0.25">
      <c r="A273" s="7">
        <v>41</v>
      </c>
      <c r="B273" s="4" t="s">
        <v>314</v>
      </c>
      <c r="C273" s="12">
        <v>1.2</v>
      </c>
      <c r="D273" s="17">
        <f>VLOOKUP(E273,Sheet2!A:C,2,FALSE)</f>
        <v>41</v>
      </c>
      <c r="E273" s="15" t="s">
        <v>488</v>
      </c>
      <c r="F273" s="17">
        <v>4</v>
      </c>
      <c r="G273" s="5" t="str">
        <f t="shared" si="12"/>
        <v/>
      </c>
      <c r="H273" s="9"/>
      <c r="I273" s="9">
        <v>4</v>
      </c>
      <c r="J273" s="4" t="str">
        <f t="shared" si="13"/>
        <v>YES</v>
      </c>
      <c r="K273" s="4" t="s">
        <v>315</v>
      </c>
      <c r="L273" s="6" t="s">
        <v>775</v>
      </c>
      <c r="M273" s="6" t="str">
        <f t="shared" si="14"/>
        <v>'MAR-4' =&gt; array('N'=&gt;'4', 'C'=&gt;"Jesus Preaches in the Synagogue", 'F'=&gt;'NT-Gospel-172-Jesus-Preaches-in-the-Synagogue'),</v>
      </c>
    </row>
    <row r="274" spans="1:13" x14ac:dyDescent="0.25">
      <c r="A274" s="7">
        <v>42</v>
      </c>
      <c r="B274" s="4" t="s">
        <v>341</v>
      </c>
      <c r="C274" s="12">
        <v>5</v>
      </c>
      <c r="D274" s="5">
        <f>VLOOKUP(E274,Sheet2!A:C,2,FALSE)</f>
        <v>41</v>
      </c>
      <c r="E274" s="4" t="s">
        <v>488</v>
      </c>
      <c r="F274" s="5">
        <v>4</v>
      </c>
      <c r="G274" s="5" t="str">
        <f t="shared" si="12"/>
        <v>MULT</v>
      </c>
      <c r="H274" s="9">
        <v>2</v>
      </c>
      <c r="I274" s="9"/>
      <c r="J274" s="4" t="str">
        <f t="shared" si="13"/>
        <v>YES</v>
      </c>
      <c r="K274" s="4" t="s">
        <v>342</v>
      </c>
      <c r="L274" s="6" t="s">
        <v>783</v>
      </c>
      <c r="M274" s="6" t="str">
        <f t="shared" si="14"/>
        <v>'MAR-4-2' =&gt; array('N'=&gt;'', 'C'=&gt;"Jesus Preaches at the Sea of Galilee", 'F'=&gt;'NT-Gospel-174-Jesus-Preaches-at-the-Sea-of-Galilee'),</v>
      </c>
    </row>
    <row r="275" spans="1:13" x14ac:dyDescent="0.25">
      <c r="A275" s="7">
        <v>41</v>
      </c>
      <c r="B275" s="4" t="s">
        <v>318</v>
      </c>
      <c r="C275" s="12">
        <v>4</v>
      </c>
      <c r="D275" s="5">
        <f>VLOOKUP(E275,Sheet2!A:C,2,FALSE)</f>
        <v>41</v>
      </c>
      <c r="E275" s="4" t="s">
        <v>488</v>
      </c>
      <c r="F275" s="5">
        <v>4</v>
      </c>
      <c r="G275" s="5" t="str">
        <f t="shared" si="12"/>
        <v>MULT</v>
      </c>
      <c r="H275" s="9">
        <v>3</v>
      </c>
      <c r="I275" s="9"/>
      <c r="J275" s="4" t="str">
        <f t="shared" si="13"/>
        <v/>
      </c>
      <c r="K275" s="4" t="s">
        <v>463</v>
      </c>
      <c r="L275" s="6" t="s">
        <v>780</v>
      </c>
      <c r="M275" s="6" t="str">
        <f t="shared" si="14"/>
        <v>'MAR-4-3' =&gt; array('N'=&gt;'', 'C'=&gt;"Jesus Stills the Storm", 'F'=&gt;'NT-Gospel-179-Jesus-Stills-the-Storm'),</v>
      </c>
    </row>
    <row r="276" spans="1:13" x14ac:dyDescent="0.25">
      <c r="A276" s="14">
        <v>42</v>
      </c>
      <c r="B276" s="15" t="s">
        <v>353</v>
      </c>
      <c r="C276" s="16">
        <v>12</v>
      </c>
      <c r="D276" s="17">
        <f>VLOOKUP(E276,Sheet2!A:C,2,FALSE)</f>
        <v>41</v>
      </c>
      <c r="E276" s="15" t="s">
        <v>488</v>
      </c>
      <c r="F276" s="17">
        <v>4</v>
      </c>
      <c r="G276" s="5" t="str">
        <f t="shared" si="12"/>
        <v>MULT</v>
      </c>
      <c r="H276" s="9">
        <v>4</v>
      </c>
      <c r="I276" s="9"/>
      <c r="J276" s="4" t="str">
        <f t="shared" si="13"/>
        <v>YES</v>
      </c>
      <c r="K276" s="15" t="s">
        <v>354</v>
      </c>
      <c r="L276" s="18" t="s">
        <v>777</v>
      </c>
      <c r="M276" s="6" t="str">
        <f t="shared" si="14"/>
        <v>'MAR-4-4' =&gt; array('N'=&gt;'', 'C'=&gt;"Jesus Preaches to the Multitude", 'F'=&gt;'NT-Gospel-183-Jesus-Preaches-to-the-Multitude'),</v>
      </c>
    </row>
    <row r="277" spans="1:13" x14ac:dyDescent="0.25">
      <c r="A277" s="7">
        <v>42</v>
      </c>
      <c r="B277" s="4" t="s">
        <v>339</v>
      </c>
      <c r="C277" s="12">
        <v>4.2</v>
      </c>
      <c r="D277" s="5">
        <f>VLOOKUP(E277,Sheet2!A:C,2,FALSE)</f>
        <v>41</v>
      </c>
      <c r="E277" s="4" t="s">
        <v>488</v>
      </c>
      <c r="F277" s="5">
        <v>5</v>
      </c>
      <c r="G277" s="5" t="str">
        <f t="shared" si="12"/>
        <v/>
      </c>
      <c r="H277" s="9"/>
      <c r="I277" s="9">
        <v>2</v>
      </c>
      <c r="J277" s="4" t="str">
        <f t="shared" si="13"/>
        <v>YES</v>
      </c>
      <c r="K277" s="4" t="s">
        <v>340</v>
      </c>
      <c r="L277" s="6" t="s">
        <v>776</v>
      </c>
      <c r="M277" s="6" t="str">
        <f t="shared" si="14"/>
        <v>'MAR-5' =&gt; array('N'=&gt;'2', 'C'=&gt;"Jesus Heals a Demoniac", 'F'=&gt;'NT-Gospel-173-Jesus-Heals-a-Demoniac'),</v>
      </c>
    </row>
    <row r="278" spans="1:13" x14ac:dyDescent="0.25">
      <c r="A278" s="7">
        <v>42</v>
      </c>
      <c r="B278" s="4" t="s">
        <v>345</v>
      </c>
      <c r="C278" s="12">
        <v>8</v>
      </c>
      <c r="D278" s="5">
        <f>VLOOKUP(E278,Sheet2!A:C,2,FALSE)</f>
        <v>41</v>
      </c>
      <c r="E278" s="4" t="s">
        <v>488</v>
      </c>
      <c r="F278" s="5">
        <v>5</v>
      </c>
      <c r="G278" s="5" t="str">
        <f t="shared" si="12"/>
        <v>MULT</v>
      </c>
      <c r="H278" s="9">
        <v>2</v>
      </c>
      <c r="I278" s="9"/>
      <c r="J278" s="4" t="str">
        <f t="shared" si="13"/>
        <v>YES</v>
      </c>
      <c r="K278" s="4" t="s">
        <v>346</v>
      </c>
      <c r="L278" s="6" t="s">
        <v>813</v>
      </c>
      <c r="M278" s="6" t="str">
        <f t="shared" si="14"/>
        <v>'MAR-5-2' =&gt; array('N'=&gt;'', 'C'=&gt;"Jesus Raises the Daughter of Jairus", 'F'=&gt;'NT-Gospel-180-Jesus-Raises-the-Daughter-of-Jairus'),</v>
      </c>
    </row>
    <row r="279" spans="1:13" x14ac:dyDescent="0.25">
      <c r="A279" s="7">
        <v>41</v>
      </c>
      <c r="B279" s="4" t="s">
        <v>314</v>
      </c>
      <c r="C279" s="12">
        <v>1.2</v>
      </c>
      <c r="D279" s="17">
        <f>VLOOKUP(E279,Sheet2!A:C,2,FALSE)</f>
        <v>41</v>
      </c>
      <c r="E279" s="15" t="s">
        <v>488</v>
      </c>
      <c r="F279" s="17">
        <v>6</v>
      </c>
      <c r="G279" s="5" t="str">
        <f t="shared" si="12"/>
        <v/>
      </c>
      <c r="H279" s="9"/>
      <c r="I279" s="9">
        <v>6</v>
      </c>
      <c r="J279" s="4" t="str">
        <f t="shared" si="13"/>
        <v>YES</v>
      </c>
      <c r="K279" s="4" t="s">
        <v>315</v>
      </c>
      <c r="L279" s="6" t="s">
        <v>775</v>
      </c>
      <c r="M279" s="6" t="str">
        <f t="shared" si="14"/>
        <v>'MAR-6' =&gt; array('N'=&gt;'6', 'C'=&gt;"Jesus Preaches in the Synagogue", 'F'=&gt;'NT-Gospel-172-Jesus-Preaches-in-the-Synagogue'),</v>
      </c>
    </row>
    <row r="280" spans="1:13" x14ac:dyDescent="0.25">
      <c r="A280" s="7">
        <v>40</v>
      </c>
      <c r="B280" s="4" t="s">
        <v>292</v>
      </c>
      <c r="C280" s="12">
        <v>14.1</v>
      </c>
      <c r="D280" s="5">
        <f>VLOOKUP(E280,Sheet2!A:C,2,FALSE)</f>
        <v>41</v>
      </c>
      <c r="E280" s="4" t="s">
        <v>488</v>
      </c>
      <c r="F280" s="5">
        <v>6</v>
      </c>
      <c r="G280" s="5" t="str">
        <f t="shared" si="12"/>
        <v>MULT</v>
      </c>
      <c r="H280" s="9">
        <v>2</v>
      </c>
      <c r="I280" s="9"/>
      <c r="J280" s="4" t="str">
        <f t="shared" si="13"/>
        <v>YES</v>
      </c>
      <c r="K280" s="4" t="s">
        <v>293</v>
      </c>
      <c r="L280" s="6" t="s">
        <v>784</v>
      </c>
      <c r="M280" s="6" t="str">
        <f t="shared" si="14"/>
        <v>'MAR-6-2' =&gt; array('N'=&gt;'', 'C'=&gt;"Herod's Daughter Receives the Head of John the Baptist", 'F'=&gt;'NT-Gospel-182-Herods-Daughter-Receives-the-Head-of-John-the-Baptist'),</v>
      </c>
    </row>
    <row r="281" spans="1:13" x14ac:dyDescent="0.25">
      <c r="A281" s="14">
        <v>42</v>
      </c>
      <c r="B281" s="15" t="s">
        <v>353</v>
      </c>
      <c r="C281" s="16">
        <v>12</v>
      </c>
      <c r="D281" s="17">
        <f>VLOOKUP(E281,Sheet2!A:C,2,FALSE)</f>
        <v>41</v>
      </c>
      <c r="E281" s="15" t="s">
        <v>488</v>
      </c>
      <c r="F281" s="17">
        <v>6</v>
      </c>
      <c r="G281" s="5" t="str">
        <f t="shared" si="12"/>
        <v>MULT</v>
      </c>
      <c r="H281" s="9">
        <v>3</v>
      </c>
      <c r="I281" s="9"/>
      <c r="J281" s="4" t="str">
        <f t="shared" si="13"/>
        <v>YES</v>
      </c>
      <c r="K281" s="15" t="s">
        <v>354</v>
      </c>
      <c r="L281" s="18" t="s">
        <v>777</v>
      </c>
      <c r="M281" s="6" t="str">
        <f t="shared" si="14"/>
        <v>'MAR-6-3' =&gt; array('N'=&gt;'', 'C'=&gt;"Jesus Preaches to the Multitude", 'F'=&gt;'NT-Gospel-183-Jesus-Preaches-to-the-Multitude'),</v>
      </c>
    </row>
    <row r="282" spans="1:13" x14ac:dyDescent="0.25">
      <c r="A282" s="7">
        <v>40</v>
      </c>
      <c r="B282" s="4" t="s">
        <v>294</v>
      </c>
      <c r="C282" s="12">
        <v>14.2</v>
      </c>
      <c r="D282" s="5">
        <f>VLOOKUP(E282,Sheet2!A:C,2,FALSE)</f>
        <v>41</v>
      </c>
      <c r="E282" s="4" t="s">
        <v>488</v>
      </c>
      <c r="F282" s="5">
        <v>6</v>
      </c>
      <c r="G282" s="5" t="str">
        <f t="shared" si="12"/>
        <v>MULT</v>
      </c>
      <c r="H282" s="9">
        <v>4</v>
      </c>
      <c r="I282" s="9"/>
      <c r="J282" s="4" t="str">
        <f t="shared" si="13"/>
        <v>YES</v>
      </c>
      <c r="K282" s="4" t="s">
        <v>295</v>
      </c>
      <c r="L282" s="6" t="s">
        <v>785</v>
      </c>
      <c r="M282" s="6" t="str">
        <f t="shared" si="14"/>
        <v>'MAR-6-4' =&gt; array('N'=&gt;'', 'C'=&gt;"Jesus Feeds the Multitudes", 'F'=&gt;'NT-Gospel-184-Jesus-Feeds-the-Multitudes'),</v>
      </c>
    </row>
    <row r="283" spans="1:13" x14ac:dyDescent="0.25">
      <c r="A283" s="7">
        <v>43</v>
      </c>
      <c r="B283" s="4" t="s">
        <v>382</v>
      </c>
      <c r="C283" s="12">
        <v>6</v>
      </c>
      <c r="D283" s="5">
        <f>VLOOKUP(E283,Sheet2!A:C,2,FALSE)</f>
        <v>41</v>
      </c>
      <c r="E283" s="4" t="s">
        <v>488</v>
      </c>
      <c r="F283" s="5">
        <v>6</v>
      </c>
      <c r="G283" s="5" t="str">
        <f t="shared" si="12"/>
        <v>MULT</v>
      </c>
      <c r="H283" s="9">
        <v>5</v>
      </c>
      <c r="I283" s="9"/>
      <c r="J283" s="4" t="str">
        <f t="shared" si="13"/>
        <v>YES</v>
      </c>
      <c r="K283" s="4" t="s">
        <v>383</v>
      </c>
      <c r="L283" s="6" t="s">
        <v>786</v>
      </c>
      <c r="M283" s="6" t="str">
        <f t="shared" si="14"/>
        <v>'MAR-6-5' =&gt; array('N'=&gt;'', 'C'=&gt;"Jesus Walks on the Sea", 'F'=&gt;'NT-Gospel-185-Jesus-Walks-on-the-Sea'),</v>
      </c>
    </row>
    <row r="284" spans="1:13" x14ac:dyDescent="0.25">
      <c r="A284" s="7">
        <v>40</v>
      </c>
      <c r="B284" s="4" t="s">
        <v>296</v>
      </c>
      <c r="C284" s="12">
        <v>15</v>
      </c>
      <c r="D284" s="5">
        <f>VLOOKUP(E284,Sheet2!A:C,2,FALSE)</f>
        <v>41</v>
      </c>
      <c r="E284" s="4" t="s">
        <v>488</v>
      </c>
      <c r="F284" s="5">
        <v>6</v>
      </c>
      <c r="G284" s="5" t="str">
        <f t="shared" si="12"/>
        <v>MULT</v>
      </c>
      <c r="H284" s="9">
        <v>6</v>
      </c>
      <c r="I284" s="9"/>
      <c r="J284" s="4" t="str">
        <f t="shared" si="13"/>
        <v>YES</v>
      </c>
      <c r="K284" s="4" t="s">
        <v>297</v>
      </c>
      <c r="L284" s="6" t="s">
        <v>778</v>
      </c>
      <c r="M284" s="6" t="str">
        <f t="shared" si="14"/>
        <v>'MAR-6-6' =&gt; array('N'=&gt;'', 'C'=&gt;"Jesus Heals the Sick", 'F'=&gt;'NT-Gospel-186-Jesus-Heals-the-Sick'),</v>
      </c>
    </row>
    <row r="285" spans="1:13" x14ac:dyDescent="0.25">
      <c r="A285" s="7">
        <v>23</v>
      </c>
      <c r="B285" s="4" t="s">
        <v>246</v>
      </c>
      <c r="C285" s="12">
        <v>6</v>
      </c>
      <c r="D285" s="5">
        <f>VLOOKUP(E285,Sheet2!A:C,2,FALSE)</f>
        <v>41</v>
      </c>
      <c r="E285" s="4" t="s">
        <v>488</v>
      </c>
      <c r="F285" s="5">
        <v>7</v>
      </c>
      <c r="G285" s="5" t="str">
        <f t="shared" si="12"/>
        <v/>
      </c>
      <c r="H285" s="9"/>
      <c r="I285" s="9">
        <v>2</v>
      </c>
      <c r="J285" s="4" t="str">
        <f t="shared" si="13"/>
        <v>YES</v>
      </c>
      <c r="K285" s="4" t="s">
        <v>247</v>
      </c>
      <c r="L285" s="6" t="s">
        <v>749</v>
      </c>
      <c r="M285" s="6" t="str">
        <f t="shared" si="14"/>
        <v>'MAR-7' =&gt; array('N'=&gt;'2', 'C'=&gt;"The Prophet Isaiah", 'F'=&gt;'Hebrew-OT-110-The-Prophet-Isaiah'),</v>
      </c>
    </row>
    <row r="286" spans="1:13" x14ac:dyDescent="0.25">
      <c r="A286" s="7">
        <v>42</v>
      </c>
      <c r="B286" s="4" t="s">
        <v>339</v>
      </c>
      <c r="C286" s="12">
        <v>4.2</v>
      </c>
      <c r="D286" s="5">
        <f>VLOOKUP(E286,Sheet2!A:C,2,FALSE)</f>
        <v>41</v>
      </c>
      <c r="E286" s="4" t="s">
        <v>488</v>
      </c>
      <c r="F286" s="5">
        <v>7</v>
      </c>
      <c r="G286" s="5" t="str">
        <f t="shared" si="12"/>
        <v>MULT</v>
      </c>
      <c r="H286" s="9">
        <v>2</v>
      </c>
      <c r="I286" s="9"/>
      <c r="J286" s="4" t="str">
        <f t="shared" si="13"/>
        <v>YES</v>
      </c>
      <c r="K286" s="4" t="s">
        <v>340</v>
      </c>
      <c r="L286" s="6" t="s">
        <v>776</v>
      </c>
      <c r="M286" s="6" t="str">
        <f t="shared" si="14"/>
        <v>'MAR-7-2' =&gt; array('N'=&gt;'', 'C'=&gt;"Jesus Heals a Demoniac", 'F'=&gt;'NT-Gospel-173-Jesus-Heals-a-Demoniac'),</v>
      </c>
    </row>
    <row r="287" spans="1:13" x14ac:dyDescent="0.25">
      <c r="A287" s="7">
        <v>41</v>
      </c>
      <c r="B287" s="4" t="s">
        <v>314</v>
      </c>
      <c r="C287" s="12">
        <v>1.2</v>
      </c>
      <c r="D287" s="17">
        <f>VLOOKUP(E287,Sheet2!A:C,2,FALSE)</f>
        <v>41</v>
      </c>
      <c r="E287" s="15" t="s">
        <v>488</v>
      </c>
      <c r="F287" s="17">
        <v>8</v>
      </c>
      <c r="G287" s="5" t="str">
        <f t="shared" si="12"/>
        <v/>
      </c>
      <c r="H287" s="9"/>
      <c r="I287" s="9">
        <v>3</v>
      </c>
      <c r="J287" s="4" t="str">
        <f t="shared" si="13"/>
        <v>YES</v>
      </c>
      <c r="K287" s="4" t="s">
        <v>315</v>
      </c>
      <c r="L287" s="6" t="s">
        <v>775</v>
      </c>
      <c r="M287" s="6" t="str">
        <f t="shared" si="14"/>
        <v>'MAR-8' =&gt; array('N'=&gt;'3', 'C'=&gt;"Jesus Preaches in the Synagogue", 'F'=&gt;'NT-Gospel-172-Jesus-Preaches-in-the-Synagogue'),</v>
      </c>
    </row>
    <row r="288" spans="1:13" x14ac:dyDescent="0.25">
      <c r="A288" s="14">
        <v>42</v>
      </c>
      <c r="B288" s="15" t="s">
        <v>353</v>
      </c>
      <c r="C288" s="16">
        <v>12</v>
      </c>
      <c r="D288" s="17">
        <f>VLOOKUP(E288,Sheet2!A:C,2,FALSE)</f>
        <v>41</v>
      </c>
      <c r="E288" s="15" t="s">
        <v>488</v>
      </c>
      <c r="F288" s="17">
        <v>8</v>
      </c>
      <c r="G288" s="5" t="str">
        <f t="shared" si="12"/>
        <v>MULT</v>
      </c>
      <c r="H288" s="9">
        <v>2</v>
      </c>
      <c r="I288" s="9"/>
      <c r="J288" s="4" t="str">
        <f t="shared" si="13"/>
        <v>YES</v>
      </c>
      <c r="K288" s="15" t="s">
        <v>354</v>
      </c>
      <c r="L288" s="18" t="s">
        <v>777</v>
      </c>
      <c r="M288" s="6" t="str">
        <f t="shared" si="14"/>
        <v>'MAR-8-2' =&gt; array('N'=&gt;'', 'C'=&gt;"Jesus Preaches to the Multitude", 'F'=&gt;'NT-Gospel-183-Jesus-Preaches-to-the-Multitude'),</v>
      </c>
    </row>
    <row r="289" spans="1:13" x14ac:dyDescent="0.25">
      <c r="A289" s="7">
        <v>40</v>
      </c>
      <c r="B289" s="4" t="s">
        <v>294</v>
      </c>
      <c r="C289" s="12">
        <v>14.2</v>
      </c>
      <c r="D289" s="5">
        <f>VLOOKUP(E289,Sheet2!A:C,2,FALSE)</f>
        <v>41</v>
      </c>
      <c r="E289" s="4" t="s">
        <v>488</v>
      </c>
      <c r="F289" s="5">
        <v>8</v>
      </c>
      <c r="G289" s="5" t="str">
        <f t="shared" si="12"/>
        <v>MULT</v>
      </c>
      <c r="H289" s="9">
        <v>3</v>
      </c>
      <c r="I289" s="9"/>
      <c r="J289" s="4" t="str">
        <f t="shared" si="13"/>
        <v>YES</v>
      </c>
      <c r="K289" s="4" t="s">
        <v>295</v>
      </c>
      <c r="L289" s="6" t="s">
        <v>785</v>
      </c>
      <c r="M289" s="6" t="str">
        <f t="shared" si="14"/>
        <v>'MAR-8-3' =&gt; array('N'=&gt;'', 'C'=&gt;"Jesus Feeds the Multitudes", 'F'=&gt;'NT-Gospel-184-Jesus-Feeds-the-Multitudes'),</v>
      </c>
    </row>
    <row r="290" spans="1:13" x14ac:dyDescent="0.25">
      <c r="A290" s="7">
        <v>12</v>
      </c>
      <c r="B290" s="4" t="s">
        <v>183</v>
      </c>
      <c r="C290" s="12">
        <v>2.1</v>
      </c>
      <c r="D290" s="5">
        <f>VLOOKUP(E290,Sheet2!A:C,2,FALSE)</f>
        <v>41</v>
      </c>
      <c r="E290" s="4" t="s">
        <v>488</v>
      </c>
      <c r="F290" s="5">
        <v>9</v>
      </c>
      <c r="G290" s="5" t="str">
        <f t="shared" si="12"/>
        <v/>
      </c>
      <c r="H290" s="9"/>
      <c r="I290" s="9">
        <v>5</v>
      </c>
      <c r="J290" s="4" t="str">
        <f t="shared" si="13"/>
        <v>YES</v>
      </c>
      <c r="K290" s="4" t="s">
        <v>184</v>
      </c>
      <c r="L290" s="6" t="s">
        <v>724</v>
      </c>
      <c r="M290" s="6" t="str">
        <f t="shared" si="14"/>
        <v>'MAR-9' =&gt; array('N'=&gt;'5', 'C'=&gt;"Elijah Ascends to Heaven in a Chariot of Fire", 'F'=&gt;'Hebrew-OT-102-Elijah-Ascends-to-Heaven-in-a-Chariot-of-Fire'),</v>
      </c>
    </row>
    <row r="291" spans="1:13" x14ac:dyDescent="0.25">
      <c r="A291" s="7">
        <v>41</v>
      </c>
      <c r="B291" s="4" t="s">
        <v>314</v>
      </c>
      <c r="C291" s="12">
        <v>1.2</v>
      </c>
      <c r="D291" s="17">
        <f>VLOOKUP(E291,Sheet2!A:C,2,FALSE)</f>
        <v>41</v>
      </c>
      <c r="E291" s="15" t="s">
        <v>488</v>
      </c>
      <c r="F291" s="17">
        <v>9</v>
      </c>
      <c r="G291" s="5" t="str">
        <f t="shared" si="12"/>
        <v>MULT</v>
      </c>
      <c r="H291" s="9">
        <v>2</v>
      </c>
      <c r="I291" s="9"/>
      <c r="J291" s="4" t="str">
        <f t="shared" si="13"/>
        <v>YES</v>
      </c>
      <c r="K291" s="4" t="s">
        <v>315</v>
      </c>
      <c r="L291" s="6" t="s">
        <v>775</v>
      </c>
      <c r="M291" s="6" t="str">
        <f t="shared" si="14"/>
        <v>'MAR-9-2' =&gt; array('N'=&gt;'', 'C'=&gt;"Jesus Preaches in the Synagogue", 'F'=&gt;'NT-Gospel-172-Jesus-Preaches-in-the-Synagogue'),</v>
      </c>
    </row>
    <row r="292" spans="1:13" x14ac:dyDescent="0.25">
      <c r="A292" s="14">
        <v>42</v>
      </c>
      <c r="B292" s="15" t="s">
        <v>353</v>
      </c>
      <c r="C292" s="16">
        <v>12</v>
      </c>
      <c r="D292" s="17">
        <f>VLOOKUP(E292,Sheet2!A:C,2,FALSE)</f>
        <v>41</v>
      </c>
      <c r="E292" s="15" t="s">
        <v>488</v>
      </c>
      <c r="F292" s="17">
        <v>9</v>
      </c>
      <c r="G292" s="5" t="str">
        <f t="shared" si="12"/>
        <v>MULT</v>
      </c>
      <c r="H292" s="9">
        <v>3</v>
      </c>
      <c r="I292" s="9"/>
      <c r="J292" s="4" t="str">
        <f t="shared" si="13"/>
        <v>YES</v>
      </c>
      <c r="K292" s="15" t="s">
        <v>354</v>
      </c>
      <c r="L292" s="18" t="s">
        <v>777</v>
      </c>
      <c r="M292" s="6" t="str">
        <f t="shared" si="14"/>
        <v>'MAR-9-3' =&gt; array('N'=&gt;'', 'C'=&gt;"Jesus Preaches to the Multitude", 'F'=&gt;'NT-Gospel-183-Jesus-Preaches-to-the-Multitude'),</v>
      </c>
    </row>
    <row r="293" spans="1:13" x14ac:dyDescent="0.25">
      <c r="A293" s="7">
        <v>41</v>
      </c>
      <c r="B293" s="4" t="s">
        <v>319</v>
      </c>
      <c r="C293" s="12">
        <v>9</v>
      </c>
      <c r="D293" s="5">
        <f>VLOOKUP(E293,Sheet2!A:C,2,FALSE)</f>
        <v>41</v>
      </c>
      <c r="E293" s="4" t="s">
        <v>488</v>
      </c>
      <c r="F293" s="5">
        <v>9</v>
      </c>
      <c r="G293" s="5" t="str">
        <f t="shared" si="12"/>
        <v>MULT</v>
      </c>
      <c r="H293" s="9">
        <v>4</v>
      </c>
      <c r="I293" s="9"/>
      <c r="J293" s="4" t="str">
        <f t="shared" si="13"/>
        <v/>
      </c>
      <c r="K293" s="4" t="s">
        <v>320</v>
      </c>
      <c r="L293" s="6" t="s">
        <v>787</v>
      </c>
      <c r="M293" s="6" t="str">
        <f t="shared" si="14"/>
        <v>'MAR-9-4' =&gt; array('N'=&gt;'', 'C'=&gt;"The Transfiguration", 'F'=&gt;'NT-Gospel-187-The-Transfiguration'),</v>
      </c>
    </row>
    <row r="294" spans="1:13" x14ac:dyDescent="0.25">
      <c r="A294" s="7">
        <v>40</v>
      </c>
      <c r="B294" s="4" t="s">
        <v>298</v>
      </c>
      <c r="C294" s="12">
        <v>17</v>
      </c>
      <c r="D294" s="5">
        <f>VLOOKUP(E294,Sheet2!A:C,2,FALSE)</f>
        <v>41</v>
      </c>
      <c r="E294" s="4" t="s">
        <v>488</v>
      </c>
      <c r="F294" s="5">
        <v>9</v>
      </c>
      <c r="G294" s="5" t="str">
        <f t="shared" si="12"/>
        <v>MULT</v>
      </c>
      <c r="H294" s="9">
        <v>5</v>
      </c>
      <c r="I294" s="9"/>
      <c r="J294" s="4" t="str">
        <f t="shared" si="13"/>
        <v>YES</v>
      </c>
      <c r="K294" s="4" t="s">
        <v>299</v>
      </c>
      <c r="L294" s="6" t="s">
        <v>788</v>
      </c>
      <c r="M294" s="6" t="str">
        <f t="shared" si="14"/>
        <v>'MAR-9-5' =&gt; array('N'=&gt;'', 'C'=&gt;"Jesus Heals the Epileptic Demoniac", 'F'=&gt;'NT-Gospel-188-Jesus-Heals-the-Epileptic-Demoniac'),</v>
      </c>
    </row>
    <row r="295" spans="1:13" x14ac:dyDescent="0.25">
      <c r="A295" s="7">
        <v>41</v>
      </c>
      <c r="B295" s="4" t="s">
        <v>321</v>
      </c>
      <c r="C295" s="12">
        <v>10</v>
      </c>
      <c r="D295" s="5">
        <f>VLOOKUP(E295,Sheet2!A:C,2,FALSE)</f>
        <v>41</v>
      </c>
      <c r="E295" s="4" t="s">
        <v>488</v>
      </c>
      <c r="F295" s="5">
        <v>10</v>
      </c>
      <c r="G295" s="5" t="str">
        <f t="shared" si="12"/>
        <v/>
      </c>
      <c r="H295" s="9"/>
      <c r="I295" s="9"/>
      <c r="J295" s="4" t="str">
        <f t="shared" si="13"/>
        <v/>
      </c>
      <c r="K295" s="4" t="s">
        <v>322</v>
      </c>
      <c r="L295" s="6" t="s">
        <v>789</v>
      </c>
      <c r="M295" s="6" t="str">
        <f t="shared" si="14"/>
        <v>'MAR-10' =&gt; array('N'=&gt;'', 'C'=&gt;"Jesus Blesses the Little Children", 'F'=&gt;'NT-Gospel-192-Jesus-Blesses-the-Little-Children'),</v>
      </c>
    </row>
    <row r="296" spans="1:13" x14ac:dyDescent="0.25">
      <c r="A296" s="7">
        <v>40</v>
      </c>
      <c r="B296" s="4" t="s">
        <v>300</v>
      </c>
      <c r="C296" s="12">
        <v>21</v>
      </c>
      <c r="D296" s="5">
        <f>VLOOKUP(E296,Sheet2!A:C,2,FALSE)</f>
        <v>41</v>
      </c>
      <c r="E296" s="4" t="s">
        <v>488</v>
      </c>
      <c r="F296" s="5">
        <v>11</v>
      </c>
      <c r="G296" s="5" t="str">
        <f t="shared" si="12"/>
        <v/>
      </c>
      <c r="H296" s="9"/>
      <c r="I296" s="9">
        <v>2</v>
      </c>
      <c r="J296" s="4" t="str">
        <f t="shared" si="13"/>
        <v>YES</v>
      </c>
      <c r="K296" s="4" t="s">
        <v>301</v>
      </c>
      <c r="L296" s="6" t="s">
        <v>790</v>
      </c>
      <c r="M296" s="6" t="str">
        <f t="shared" si="14"/>
        <v>'MAR-11' =&gt; array('N'=&gt;'2', 'C'=&gt;"Jesus Enters into Jerusalem", 'F'=&gt;'NT-Gospel-198-Jesus-Enters-into-Jerusalem'),</v>
      </c>
    </row>
    <row r="297" spans="1:13" x14ac:dyDescent="0.25">
      <c r="A297" s="7">
        <v>42</v>
      </c>
      <c r="B297" s="4" t="s">
        <v>363</v>
      </c>
      <c r="C297" s="12">
        <v>19</v>
      </c>
      <c r="D297" s="5">
        <f>VLOOKUP(E297,Sheet2!A:C,2,FALSE)</f>
        <v>41</v>
      </c>
      <c r="E297" s="4" t="s">
        <v>488</v>
      </c>
      <c r="F297" s="5">
        <v>11</v>
      </c>
      <c r="G297" s="5" t="str">
        <f t="shared" si="12"/>
        <v>MULT</v>
      </c>
      <c r="H297" s="9">
        <v>2</v>
      </c>
      <c r="I297" s="9"/>
      <c r="J297" s="4" t="str">
        <f t="shared" si="13"/>
        <v>YES</v>
      </c>
      <c r="K297" s="4" t="s">
        <v>364</v>
      </c>
      <c r="L297" s="6" t="s">
        <v>791</v>
      </c>
      <c r="M297" s="6" t="str">
        <f t="shared" si="14"/>
        <v>'MAR-11-2' =&gt; array('N'=&gt;'', 'C'=&gt;"Buyers and Sellers Are Driven Out of the Temple", 'F'=&gt;'NT-Gospel-199-Buyers-and-Sellers-Are-Driven-Out-of-the-Temple'),</v>
      </c>
    </row>
    <row r="298" spans="1:13" x14ac:dyDescent="0.25">
      <c r="A298" s="7">
        <v>41</v>
      </c>
      <c r="B298" s="4" t="s">
        <v>314</v>
      </c>
      <c r="C298" s="12">
        <v>1.2</v>
      </c>
      <c r="D298" s="17">
        <f>VLOOKUP(E298,Sheet2!A:C,2,FALSE)</f>
        <v>41</v>
      </c>
      <c r="E298" s="15" t="s">
        <v>488</v>
      </c>
      <c r="F298" s="17">
        <v>12</v>
      </c>
      <c r="G298" s="5" t="str">
        <f t="shared" si="12"/>
        <v/>
      </c>
      <c r="H298" s="9"/>
      <c r="I298" s="9">
        <v>3</v>
      </c>
      <c r="J298" s="4" t="str">
        <f t="shared" si="13"/>
        <v>YES</v>
      </c>
      <c r="K298" s="4" t="s">
        <v>315</v>
      </c>
      <c r="L298" s="6" t="s">
        <v>775</v>
      </c>
      <c r="M298" s="6" t="str">
        <f t="shared" si="14"/>
        <v>'MAR-12' =&gt; array('N'=&gt;'3', 'C'=&gt;"Jesus Preaches in the Synagogue", 'F'=&gt;'NT-Gospel-172-Jesus-Preaches-in-the-Synagogue'),</v>
      </c>
    </row>
    <row r="299" spans="1:13" x14ac:dyDescent="0.25">
      <c r="A299" s="14">
        <v>42</v>
      </c>
      <c r="B299" s="15" t="s">
        <v>353</v>
      </c>
      <c r="C299" s="16">
        <v>12</v>
      </c>
      <c r="D299" s="17">
        <f>VLOOKUP(E299,Sheet2!A:C,2,FALSE)</f>
        <v>41</v>
      </c>
      <c r="E299" s="15" t="s">
        <v>488</v>
      </c>
      <c r="F299" s="17">
        <v>12</v>
      </c>
      <c r="G299" s="5" t="str">
        <f t="shared" si="12"/>
        <v>MULT</v>
      </c>
      <c r="H299" s="9">
        <v>2</v>
      </c>
      <c r="I299" s="9"/>
      <c r="J299" s="4" t="str">
        <f t="shared" si="13"/>
        <v>YES</v>
      </c>
      <c r="K299" s="15" t="s">
        <v>354</v>
      </c>
      <c r="L299" s="18" t="s">
        <v>777</v>
      </c>
      <c r="M299" s="6" t="str">
        <f t="shared" si="14"/>
        <v>'MAR-12-2' =&gt; array('N'=&gt;'', 'C'=&gt;"Jesus Preaches to the Multitude", 'F'=&gt;'NT-Gospel-183-Jesus-Preaches-to-the-Multitude'),</v>
      </c>
    </row>
    <row r="300" spans="1:13" x14ac:dyDescent="0.25">
      <c r="A300" s="7">
        <v>41</v>
      </c>
      <c r="B300" s="4" t="s">
        <v>323</v>
      </c>
      <c r="C300" s="12">
        <v>12</v>
      </c>
      <c r="D300" s="5">
        <f>VLOOKUP(E300,Sheet2!A:C,2,FALSE)</f>
        <v>41</v>
      </c>
      <c r="E300" s="4" t="s">
        <v>488</v>
      </c>
      <c r="F300" s="5">
        <v>12</v>
      </c>
      <c r="G300" s="5" t="str">
        <f t="shared" si="12"/>
        <v>MULT</v>
      </c>
      <c r="H300" s="9">
        <v>3</v>
      </c>
      <c r="I300" s="9"/>
      <c r="J300" s="4" t="str">
        <f t="shared" si="13"/>
        <v/>
      </c>
      <c r="K300" s="4" t="s">
        <v>324</v>
      </c>
      <c r="L300" s="6" t="s">
        <v>814</v>
      </c>
      <c r="M300" s="6" t="str">
        <f t="shared" si="14"/>
        <v>'MAR-12-3' =&gt; array('N'=&gt;'', 'C'=&gt;"The Widow's Mite", 'F'=&gt;'NT-Gospel-201-The-Widows-Mite'),</v>
      </c>
    </row>
    <row r="301" spans="1:13" x14ac:dyDescent="0.25">
      <c r="A301" s="7">
        <v>41</v>
      </c>
      <c r="B301" s="4" t="s">
        <v>314</v>
      </c>
      <c r="C301" s="12">
        <v>1.2</v>
      </c>
      <c r="D301" s="17">
        <f>VLOOKUP(E301,Sheet2!A:C,2,FALSE)</f>
        <v>41</v>
      </c>
      <c r="E301" s="15" t="s">
        <v>488</v>
      </c>
      <c r="F301" s="17">
        <v>13</v>
      </c>
      <c r="G301" s="5" t="str">
        <f t="shared" si="12"/>
        <v/>
      </c>
      <c r="H301" s="9"/>
      <c r="I301" s="9">
        <v>2</v>
      </c>
      <c r="J301" s="4" t="str">
        <f t="shared" si="13"/>
        <v>YES</v>
      </c>
      <c r="K301" s="4" t="s">
        <v>315</v>
      </c>
      <c r="L301" s="6" t="s">
        <v>775</v>
      </c>
      <c r="M301" s="6" t="str">
        <f t="shared" si="14"/>
        <v>'MAR-13' =&gt; array('N'=&gt;'2', 'C'=&gt;"Jesus Preaches in the Synagogue", 'F'=&gt;'NT-Gospel-172-Jesus-Preaches-in-the-Synagogue'),</v>
      </c>
    </row>
    <row r="302" spans="1:13" x14ac:dyDescent="0.25">
      <c r="A302" s="14">
        <v>42</v>
      </c>
      <c r="B302" s="15" t="s">
        <v>353</v>
      </c>
      <c r="C302" s="16">
        <v>12</v>
      </c>
      <c r="D302" s="17">
        <f>VLOOKUP(E302,Sheet2!A:C,2,FALSE)</f>
        <v>41</v>
      </c>
      <c r="E302" s="15" t="s">
        <v>488</v>
      </c>
      <c r="F302" s="17">
        <v>13</v>
      </c>
      <c r="G302" s="5" t="str">
        <f t="shared" si="12"/>
        <v>MULT</v>
      </c>
      <c r="H302" s="9">
        <v>2</v>
      </c>
      <c r="I302" s="9"/>
      <c r="J302" s="4" t="str">
        <f t="shared" si="13"/>
        <v>YES</v>
      </c>
      <c r="K302" s="15" t="s">
        <v>354</v>
      </c>
      <c r="L302" s="18" t="s">
        <v>777</v>
      </c>
      <c r="M302" s="6" t="str">
        <f t="shared" si="14"/>
        <v>'MAR-13-2' =&gt; array('N'=&gt;'', 'C'=&gt;"Jesus Preaches to the Multitude", 'F'=&gt;'NT-Gospel-183-Jesus-Preaches-to-the-Multitude'),</v>
      </c>
    </row>
    <row r="303" spans="1:13" x14ac:dyDescent="0.25">
      <c r="A303" s="7">
        <v>43</v>
      </c>
      <c r="B303" s="4" t="s">
        <v>388</v>
      </c>
      <c r="C303" s="12">
        <v>13</v>
      </c>
      <c r="D303" s="5">
        <f>VLOOKUP(E303,Sheet2!A:C,2,FALSE)</f>
        <v>41</v>
      </c>
      <c r="E303" s="4" t="s">
        <v>488</v>
      </c>
      <c r="F303" s="5">
        <v>14</v>
      </c>
      <c r="G303" s="5" t="str">
        <f t="shared" si="12"/>
        <v/>
      </c>
      <c r="H303" s="9"/>
      <c r="I303" s="9">
        <v>5</v>
      </c>
      <c r="J303" s="4" t="str">
        <f t="shared" si="13"/>
        <v>YES</v>
      </c>
      <c r="K303" s="4" t="s">
        <v>389</v>
      </c>
      <c r="L303" s="6" t="s">
        <v>793</v>
      </c>
      <c r="M303" s="6" t="str">
        <f t="shared" si="14"/>
        <v>'MAR-14' =&gt; array('N'=&gt;'5', 'C'=&gt;"The Last Supper", 'F'=&gt;'NT-Gospel-202-The-Last-Supper'),</v>
      </c>
    </row>
    <row r="304" spans="1:13" x14ac:dyDescent="0.25">
      <c r="A304" s="7">
        <v>40</v>
      </c>
      <c r="B304" s="4" t="s">
        <v>304</v>
      </c>
      <c r="C304" s="12">
        <v>26</v>
      </c>
      <c r="D304" s="5">
        <f>VLOOKUP(E304,Sheet2!A:C,2,FALSE)</f>
        <v>41</v>
      </c>
      <c r="E304" s="4" t="s">
        <v>488</v>
      </c>
      <c r="F304" s="5">
        <v>14</v>
      </c>
      <c r="G304" s="5" t="str">
        <f t="shared" si="12"/>
        <v>MULT</v>
      </c>
      <c r="H304" s="9">
        <v>2</v>
      </c>
      <c r="I304" s="9"/>
      <c r="J304" s="4" t="str">
        <f t="shared" si="13"/>
        <v>YES</v>
      </c>
      <c r="K304" s="4" t="s">
        <v>305</v>
      </c>
      <c r="L304" s="6" t="s">
        <v>794</v>
      </c>
      <c r="M304" s="6" t="str">
        <f t="shared" si="14"/>
        <v>'MAR-14-2' =&gt; array('N'=&gt;'', 'C'=&gt;"Jesus Prays in the Garden", 'F'=&gt;'NT-Gospel-203-Jesus-Prays-in-the-Garden'),</v>
      </c>
    </row>
    <row r="305" spans="1:13" s="18" customFormat="1" x14ac:dyDescent="0.25">
      <c r="A305" s="14">
        <v>42</v>
      </c>
      <c r="B305" s="15" t="s">
        <v>365</v>
      </c>
      <c r="C305" s="16">
        <v>22</v>
      </c>
      <c r="D305" s="17">
        <f>VLOOKUP(E305,Sheet2!A:C,2,FALSE)</f>
        <v>41</v>
      </c>
      <c r="E305" s="15" t="s">
        <v>488</v>
      </c>
      <c r="F305" s="17">
        <v>14</v>
      </c>
      <c r="G305" s="5" t="str">
        <f t="shared" si="12"/>
        <v>MULT</v>
      </c>
      <c r="H305" s="9">
        <v>3</v>
      </c>
      <c r="I305" s="9"/>
      <c r="J305" s="4" t="str">
        <f t="shared" si="13"/>
        <v>YES</v>
      </c>
      <c r="K305" s="15" t="s">
        <v>366</v>
      </c>
      <c r="L305" s="18" t="s">
        <v>795</v>
      </c>
      <c r="M305" s="6" t="str">
        <f t="shared" si="14"/>
        <v>'MAR-14-3' =&gt; array('N'=&gt;'', 'C'=&gt;"An Angel Appears to Jesus in the Garden", 'F'=&gt;'NT-Gospel-204-An-Angel-Appears-to-Jesus-in-the-Garden'),</v>
      </c>
    </row>
    <row r="306" spans="1:13" s="18" customFormat="1" x14ac:dyDescent="0.25">
      <c r="A306" s="7">
        <v>41</v>
      </c>
      <c r="B306" s="4" t="s">
        <v>325</v>
      </c>
      <c r="C306" s="12">
        <v>14</v>
      </c>
      <c r="D306" s="5">
        <f>VLOOKUP(E306,Sheet2!A:C,2,FALSE)</f>
        <v>41</v>
      </c>
      <c r="E306" s="4" t="s">
        <v>488</v>
      </c>
      <c r="F306" s="5">
        <v>14</v>
      </c>
      <c r="G306" s="5" t="str">
        <f t="shared" si="12"/>
        <v>MULT</v>
      </c>
      <c r="H306" s="9">
        <v>4</v>
      </c>
      <c r="I306" s="9"/>
      <c r="J306" s="4" t="str">
        <f t="shared" si="13"/>
        <v/>
      </c>
      <c r="K306" s="4" t="s">
        <v>326</v>
      </c>
      <c r="L306" s="6" t="s">
        <v>796</v>
      </c>
      <c r="M306" s="6" t="str">
        <f t="shared" si="14"/>
        <v>'MAR-14-4' =&gt; array('N'=&gt;'', 'C'=&gt;"Judas Betrays Jesus", 'F'=&gt;'NT-Gospel-205-Judas-Betrays-Jesus'),</v>
      </c>
    </row>
    <row r="307" spans="1:13" s="18" customFormat="1" x14ac:dyDescent="0.25">
      <c r="A307" s="7">
        <v>43</v>
      </c>
      <c r="B307" s="4" t="s">
        <v>390</v>
      </c>
      <c r="C307" s="12">
        <v>18</v>
      </c>
      <c r="D307" s="5">
        <f>VLOOKUP(E307,Sheet2!A:C,2,FALSE)</f>
        <v>41</v>
      </c>
      <c r="E307" s="4" t="s">
        <v>488</v>
      </c>
      <c r="F307" s="5">
        <v>14</v>
      </c>
      <c r="G307" s="5" t="str">
        <f t="shared" si="12"/>
        <v>MULT</v>
      </c>
      <c r="H307" s="9">
        <v>5</v>
      </c>
      <c r="I307" s="9"/>
      <c r="J307" s="4" t="str">
        <f t="shared" si="13"/>
        <v>YES</v>
      </c>
      <c r="K307" s="4" t="s">
        <v>391</v>
      </c>
      <c r="L307" s="6" t="s">
        <v>797</v>
      </c>
      <c r="M307" s="6" t="str">
        <f t="shared" si="14"/>
        <v>'MAR-14-5' =&gt; array('N'=&gt;'', 'C'=&gt;"Peter Denies Knowing Jesus", 'F'=&gt;'NT-Gospel-206-Peter-Denies-Knowing-Jesus'),</v>
      </c>
    </row>
    <row r="308" spans="1:13" s="18" customFormat="1" x14ac:dyDescent="0.25">
      <c r="A308" s="7">
        <v>41</v>
      </c>
      <c r="B308" s="4" t="s">
        <v>327</v>
      </c>
      <c r="C308" s="12">
        <v>15.1</v>
      </c>
      <c r="D308" s="5">
        <f>VLOOKUP(E308,Sheet2!A:C,2,FALSE)</f>
        <v>41</v>
      </c>
      <c r="E308" s="4" t="s">
        <v>488</v>
      </c>
      <c r="F308" s="5">
        <v>15</v>
      </c>
      <c r="G308" s="5" t="str">
        <f t="shared" si="12"/>
        <v/>
      </c>
      <c r="H308" s="9"/>
      <c r="I308" s="9">
        <v>13</v>
      </c>
      <c r="J308" s="4" t="str">
        <f t="shared" si="13"/>
        <v/>
      </c>
      <c r="K308" s="4" t="s">
        <v>450</v>
      </c>
      <c r="L308" s="6" t="s">
        <v>798</v>
      </c>
      <c r="M308" s="6" t="str">
        <f t="shared" si="14"/>
        <v>'MAR-15' =&gt; array('N'=&gt;'13', 'C'=&gt;"Jesus is Scourged", 'F'=&gt;'NT-Gospel-207-Jesus-is-Scourged'),</v>
      </c>
    </row>
    <row r="309" spans="1:13" s="18" customFormat="1" x14ac:dyDescent="0.25">
      <c r="A309" s="7">
        <v>40</v>
      </c>
      <c r="B309" s="4" t="s">
        <v>306</v>
      </c>
      <c r="C309" s="12">
        <v>27.1</v>
      </c>
      <c r="D309" s="5">
        <f>VLOOKUP(E309,Sheet2!A:C,2,FALSE)</f>
        <v>41</v>
      </c>
      <c r="E309" s="4" t="s">
        <v>488</v>
      </c>
      <c r="F309" s="5">
        <v>15</v>
      </c>
      <c r="G309" s="5" t="str">
        <f t="shared" si="12"/>
        <v>MULT</v>
      </c>
      <c r="H309" s="9">
        <v>2</v>
      </c>
      <c r="I309" s="9"/>
      <c r="J309" s="4" t="str">
        <f t="shared" si="13"/>
        <v>YES</v>
      </c>
      <c r="K309" s="4" t="s">
        <v>448</v>
      </c>
      <c r="L309" s="6" t="s">
        <v>799</v>
      </c>
      <c r="M309" s="6" t="str">
        <f t="shared" si="14"/>
        <v>'MAR-15-2' =&gt; array('N'=&gt;'', 'C'=&gt;"Jesus is Crowned with Thorns", 'F'=&gt;'NT-Gospel-208-Jesus-is-Crowned-with-Thorns'),</v>
      </c>
    </row>
    <row r="310" spans="1:13" s="18" customFormat="1" x14ac:dyDescent="0.25">
      <c r="A310" s="7">
        <v>40</v>
      </c>
      <c r="B310" s="4" t="s">
        <v>307</v>
      </c>
      <c r="C310" s="12">
        <v>27.2</v>
      </c>
      <c r="D310" s="5">
        <f>VLOOKUP(E310,Sheet2!A:C,2,FALSE)</f>
        <v>41</v>
      </c>
      <c r="E310" s="4" t="s">
        <v>488</v>
      </c>
      <c r="F310" s="5">
        <v>15</v>
      </c>
      <c r="G310" s="5" t="str">
        <f t="shared" si="12"/>
        <v>MULT</v>
      </c>
      <c r="H310" s="9">
        <v>3</v>
      </c>
      <c r="I310" s="9"/>
      <c r="J310" s="4" t="str">
        <f t="shared" si="13"/>
        <v>YES</v>
      </c>
      <c r="K310" s="4" t="s">
        <v>449</v>
      </c>
      <c r="L310" s="6" t="s">
        <v>800</v>
      </c>
      <c r="M310" s="6" t="str">
        <f t="shared" si="14"/>
        <v>'MAR-15-3' =&gt; array('N'=&gt;'', 'C'=&gt;"Jesus is Mocked", 'F'=&gt;'NT-Gospel-209-Jesus-is-Mocked'),</v>
      </c>
    </row>
    <row r="311" spans="1:13" s="18" customFormat="1" x14ac:dyDescent="0.25">
      <c r="A311" s="7">
        <v>43</v>
      </c>
      <c r="B311" s="4" t="s">
        <v>392</v>
      </c>
      <c r="C311" s="12">
        <v>19.100000000000001</v>
      </c>
      <c r="D311" s="5">
        <f>VLOOKUP(E311,Sheet2!A:C,2,FALSE)</f>
        <v>41</v>
      </c>
      <c r="E311" s="4" t="s">
        <v>488</v>
      </c>
      <c r="F311" s="5">
        <v>15</v>
      </c>
      <c r="G311" s="5" t="str">
        <f t="shared" si="12"/>
        <v>MULT</v>
      </c>
      <c r="H311" s="9">
        <v>4</v>
      </c>
      <c r="I311" s="9"/>
      <c r="J311" s="4" t="str">
        <f t="shared" si="13"/>
        <v>YES</v>
      </c>
      <c r="K311" s="4" t="s">
        <v>453</v>
      </c>
      <c r="L311" s="6" t="s">
        <v>801</v>
      </c>
      <c r="M311" s="6" t="str">
        <f t="shared" si="14"/>
        <v>'MAR-15-4' =&gt; array('N'=&gt;'', 'C'=&gt;"Jesus is Presented to the People", 'F'=&gt;'NT-Gospel-210-Jesus-is-Presented-to-the-People'),</v>
      </c>
    </row>
    <row r="312" spans="1:13" s="18" customFormat="1" x14ac:dyDescent="0.25">
      <c r="A312" s="7">
        <v>41</v>
      </c>
      <c r="B312" s="4" t="s">
        <v>328</v>
      </c>
      <c r="C312" s="12">
        <v>15.2</v>
      </c>
      <c r="D312" s="5">
        <f>VLOOKUP(E312,Sheet2!A:C,2,FALSE)</f>
        <v>41</v>
      </c>
      <c r="E312" s="4" t="s">
        <v>488</v>
      </c>
      <c r="F312" s="5">
        <v>15</v>
      </c>
      <c r="G312" s="5" t="str">
        <f t="shared" si="12"/>
        <v>MULT</v>
      </c>
      <c r="H312" s="9">
        <v>5</v>
      </c>
      <c r="I312" s="9"/>
      <c r="J312" s="4" t="str">
        <f t="shared" si="13"/>
        <v/>
      </c>
      <c r="K312" s="4" t="s">
        <v>329</v>
      </c>
      <c r="L312" s="6" t="s">
        <v>802</v>
      </c>
      <c r="M312" s="6" t="str">
        <f t="shared" si="14"/>
        <v>'MAR-15-5' =&gt; array('N'=&gt;'', 'C'=&gt;"Jesus Falls Beneath the Cross", 'F'=&gt;'NT-Gospel-211-Jesus-Falls-Beneath-the-Cross'),</v>
      </c>
    </row>
    <row r="313" spans="1:13" s="18" customFormat="1" x14ac:dyDescent="0.25">
      <c r="A313" s="7">
        <v>42</v>
      </c>
      <c r="B313" s="4" t="s">
        <v>367</v>
      </c>
      <c r="C313" s="12">
        <v>23.1</v>
      </c>
      <c r="D313" s="5">
        <f>VLOOKUP(E313,Sheet2!A:C,2,FALSE)</f>
        <v>41</v>
      </c>
      <c r="E313" s="4" t="s">
        <v>488</v>
      </c>
      <c r="F313" s="5">
        <v>15</v>
      </c>
      <c r="G313" s="5" t="str">
        <f t="shared" si="12"/>
        <v>MULT</v>
      </c>
      <c r="H313" s="9">
        <v>6</v>
      </c>
      <c r="I313" s="9"/>
      <c r="J313" s="4" t="str">
        <f t="shared" si="13"/>
        <v>YES</v>
      </c>
      <c r="K313" s="4" t="s">
        <v>368</v>
      </c>
      <c r="L313" s="6" t="s">
        <v>803</v>
      </c>
      <c r="M313" s="6" t="str">
        <f t="shared" si="14"/>
        <v>'MAR-15-6' =&gt; array('N'=&gt;'', 'C'=&gt;"Jesus Arrives at Calvary", 'F'=&gt;'NT-Gospel-212-Jesus-Arrives-at-Calvary'),</v>
      </c>
    </row>
    <row r="314" spans="1:13" s="18" customFormat="1" x14ac:dyDescent="0.25">
      <c r="A314" s="7">
        <v>43</v>
      </c>
      <c r="B314" s="4" t="s">
        <v>393</v>
      </c>
      <c r="C314" s="12">
        <v>19.2</v>
      </c>
      <c r="D314" s="5">
        <f>VLOOKUP(E314,Sheet2!A:C,2,FALSE)</f>
        <v>41</v>
      </c>
      <c r="E314" s="4" t="s">
        <v>488</v>
      </c>
      <c r="F314" s="5">
        <v>15</v>
      </c>
      <c r="G314" s="5" t="str">
        <f t="shared" si="12"/>
        <v>MULT</v>
      </c>
      <c r="H314" s="9">
        <v>7</v>
      </c>
      <c r="I314" s="9"/>
      <c r="J314" s="4" t="str">
        <f t="shared" si="13"/>
        <v>YES</v>
      </c>
      <c r="K314" s="4" t="s">
        <v>454</v>
      </c>
      <c r="L314" s="6" t="s">
        <v>804</v>
      </c>
      <c r="M314" s="6" t="str">
        <f t="shared" si="14"/>
        <v>'MAR-15-7' =&gt; array('N'=&gt;'', 'C'=&gt;"Jesus is Nailed to the Cross", 'F'=&gt;'NT-Gospel-213-Jesus-is-Nailed-to-the-Cross'),</v>
      </c>
    </row>
    <row r="315" spans="1:13" s="18" customFormat="1" x14ac:dyDescent="0.25">
      <c r="A315" s="7">
        <v>42</v>
      </c>
      <c r="B315" s="4" t="s">
        <v>369</v>
      </c>
      <c r="C315" s="12">
        <v>23.2</v>
      </c>
      <c r="D315" s="5">
        <f>VLOOKUP(E315,Sheet2!A:C,2,FALSE)</f>
        <v>41</v>
      </c>
      <c r="E315" s="4" t="s">
        <v>488</v>
      </c>
      <c r="F315" s="5">
        <v>15</v>
      </c>
      <c r="G315" s="5" t="str">
        <f t="shared" si="12"/>
        <v>MULT</v>
      </c>
      <c r="H315" s="9">
        <v>8</v>
      </c>
      <c r="I315" s="9"/>
      <c r="J315" s="4" t="str">
        <f t="shared" si="13"/>
        <v>YES</v>
      </c>
      <c r="K315" s="4" t="s">
        <v>452</v>
      </c>
      <c r="L315" s="6" t="s">
        <v>805</v>
      </c>
      <c r="M315" s="6" t="str">
        <f t="shared" si="14"/>
        <v>'MAR-15-8' =&gt; array('N'=&gt;'', 'C'=&gt;"The Cross is Lifted Up", 'F'=&gt;'NT-Gospel-214-The-Cross-is-Lifted-Up'),</v>
      </c>
    </row>
    <row r="316" spans="1:13" s="18" customFormat="1" x14ac:dyDescent="0.25">
      <c r="A316" s="7">
        <v>40</v>
      </c>
      <c r="B316" s="4" t="s">
        <v>308</v>
      </c>
      <c r="C316" s="12">
        <v>27.3</v>
      </c>
      <c r="D316" s="5">
        <f>VLOOKUP(E316,Sheet2!A:C,2,FALSE)</f>
        <v>41</v>
      </c>
      <c r="E316" s="4" t="s">
        <v>488</v>
      </c>
      <c r="F316" s="5">
        <v>15</v>
      </c>
      <c r="G316" s="5" t="str">
        <f t="shared" si="12"/>
        <v>MULT</v>
      </c>
      <c r="H316" s="9">
        <v>9</v>
      </c>
      <c r="I316" s="9"/>
      <c r="J316" s="4" t="str">
        <f t="shared" si="13"/>
        <v>YES</v>
      </c>
      <c r="K316" s="4" t="s">
        <v>309</v>
      </c>
      <c r="L316" s="6" t="s">
        <v>806</v>
      </c>
      <c r="M316" s="6" t="str">
        <f t="shared" si="14"/>
        <v>'MAR-15-9' =&gt; array('N'=&gt;'', 'C'=&gt;"The Crucifixion of Jesus and Two Criminals", 'F'=&gt;'NT-Gospel-215-The-Crucifixion-of-Jesus-and-Two-Criminals'),</v>
      </c>
    </row>
    <row r="317" spans="1:13" s="18" customFormat="1" x14ac:dyDescent="0.25">
      <c r="A317" s="7">
        <v>42</v>
      </c>
      <c r="B317" s="4" t="s">
        <v>370</v>
      </c>
      <c r="C317" s="12">
        <v>23.3</v>
      </c>
      <c r="D317" s="5">
        <f>VLOOKUP(E317,Sheet2!A:C,2,FALSE)</f>
        <v>41</v>
      </c>
      <c r="E317" s="4" t="s">
        <v>488</v>
      </c>
      <c r="F317" s="5">
        <v>15</v>
      </c>
      <c r="G317" s="5" t="str">
        <f t="shared" si="12"/>
        <v>MULT</v>
      </c>
      <c r="H317" s="9">
        <v>10</v>
      </c>
      <c r="I317" s="9"/>
      <c r="J317" s="4" t="str">
        <f t="shared" si="13"/>
        <v>YES</v>
      </c>
      <c r="K317" s="4" t="s">
        <v>371</v>
      </c>
      <c r="L317" s="6" t="s">
        <v>807</v>
      </c>
      <c r="M317" s="6" t="str">
        <f t="shared" si="14"/>
        <v>'MAR-15-10' =&gt; array('N'=&gt;'', 'C'=&gt;"Darkness at the Crucifixion", 'F'=&gt;'NT-Gospel-216-Darkness-at-the-Crucifixion'),</v>
      </c>
    </row>
    <row r="318" spans="1:13" s="18" customFormat="1" x14ac:dyDescent="0.25">
      <c r="A318" s="7">
        <v>41</v>
      </c>
      <c r="B318" s="4" t="s">
        <v>330</v>
      </c>
      <c r="C318" s="12">
        <v>15.3</v>
      </c>
      <c r="D318" s="5">
        <f>VLOOKUP(E318,Sheet2!A:C,2,FALSE)</f>
        <v>41</v>
      </c>
      <c r="E318" s="4" t="s">
        <v>488</v>
      </c>
      <c r="F318" s="5">
        <v>15</v>
      </c>
      <c r="G318" s="5" t="str">
        <f t="shared" si="12"/>
        <v>MULT</v>
      </c>
      <c r="H318" s="9">
        <v>11</v>
      </c>
      <c r="I318" s="9"/>
      <c r="J318" s="4" t="str">
        <f t="shared" si="13"/>
        <v/>
      </c>
      <c r="K318" s="4" t="s">
        <v>451</v>
      </c>
      <c r="L318" s="6" t="s">
        <v>808</v>
      </c>
      <c r="M318" s="6" t="str">
        <f t="shared" si="14"/>
        <v>'MAR-15-11' =&gt; array('N'=&gt;'', 'C'=&gt;"Jesus' Body is Removed from the Cross", 'F'=&gt;'NT-Gospel-217-Jesus-Body-is-Removed-from-the-Cross'),</v>
      </c>
    </row>
    <row r="319" spans="1:13" s="18" customFormat="1" x14ac:dyDescent="0.25">
      <c r="A319" s="7">
        <v>43</v>
      </c>
      <c r="B319" s="4" t="s">
        <v>394</v>
      </c>
      <c r="C319" s="12">
        <v>19.3</v>
      </c>
      <c r="D319" s="5">
        <f>VLOOKUP(E319,Sheet2!A:C,2,FALSE)</f>
        <v>41</v>
      </c>
      <c r="E319" s="4" t="s">
        <v>488</v>
      </c>
      <c r="F319" s="5">
        <v>15</v>
      </c>
      <c r="G319" s="5" t="str">
        <f t="shared" si="12"/>
        <v>MULT</v>
      </c>
      <c r="H319" s="9">
        <v>12</v>
      </c>
      <c r="I319" s="9"/>
      <c r="J319" s="4" t="str">
        <f t="shared" si="13"/>
        <v>YES</v>
      </c>
      <c r="K319" s="4" t="s">
        <v>395</v>
      </c>
      <c r="L319" s="6" t="s">
        <v>809</v>
      </c>
      <c r="M319" s="6" t="str">
        <f t="shared" si="14"/>
        <v>'MAR-15-12' =&gt; array('N'=&gt;'', 'C'=&gt;"Disciples Mourn over the Dead Jesus", 'F'=&gt;'NT-Gospel-218-Disciples-Mourn-over-the-Dead-Jesus'),</v>
      </c>
    </row>
    <row r="320" spans="1:13" s="18" customFormat="1" x14ac:dyDescent="0.25">
      <c r="A320" s="7">
        <v>43</v>
      </c>
      <c r="B320" s="4" t="s">
        <v>396</v>
      </c>
      <c r="C320" s="12">
        <v>19.399999999999999</v>
      </c>
      <c r="D320" s="5">
        <f>VLOOKUP(E320,Sheet2!A:C,2,FALSE)</f>
        <v>41</v>
      </c>
      <c r="E320" s="4" t="s">
        <v>488</v>
      </c>
      <c r="F320" s="5">
        <v>15</v>
      </c>
      <c r="G320" s="5" t="str">
        <f t="shared" si="12"/>
        <v>MULT</v>
      </c>
      <c r="H320" s="9">
        <v>13</v>
      </c>
      <c r="I320" s="9"/>
      <c r="J320" s="4" t="str">
        <f t="shared" si="13"/>
        <v>YES</v>
      </c>
      <c r="K320" s="4" t="s">
        <v>455</v>
      </c>
      <c r="L320" s="6" t="s">
        <v>810</v>
      </c>
      <c r="M320" s="6" t="str">
        <f t="shared" si="14"/>
        <v>'MAR-15-13' =&gt; array('N'=&gt;'', 'C'=&gt;"Jesus is Buried in the Tomb", 'F'=&gt;'NT-Gospel-219-Jesus-is-Buried-in-the-Tomb'),</v>
      </c>
    </row>
    <row r="321" spans="1:13" s="18" customFormat="1" x14ac:dyDescent="0.25">
      <c r="A321" s="7">
        <v>41</v>
      </c>
      <c r="B321" s="4" t="s">
        <v>314</v>
      </c>
      <c r="C321" s="12">
        <v>1.2</v>
      </c>
      <c r="D321" s="17">
        <f>VLOOKUP(E321,Sheet2!A:C,2,FALSE)</f>
        <v>41</v>
      </c>
      <c r="E321" s="15" t="s">
        <v>488</v>
      </c>
      <c r="F321" s="17">
        <v>16</v>
      </c>
      <c r="G321" s="5" t="str">
        <f t="shared" si="12"/>
        <v/>
      </c>
      <c r="H321" s="9"/>
      <c r="I321" s="9">
        <v>4</v>
      </c>
      <c r="J321" s="4" t="str">
        <f t="shared" si="13"/>
        <v>YES</v>
      </c>
      <c r="K321" s="4" t="s">
        <v>315</v>
      </c>
      <c r="L321" s="6" t="s">
        <v>775</v>
      </c>
      <c r="M321" s="6" t="str">
        <f t="shared" si="14"/>
        <v>'MAR-16' =&gt; array('N'=&gt;'4', 'C'=&gt;"Jesus Preaches in the Synagogue", 'F'=&gt;'NT-Gospel-172-Jesus-Preaches-in-the-Synagogue'),</v>
      </c>
    </row>
    <row r="322" spans="1:13" s="18" customFormat="1" x14ac:dyDescent="0.25">
      <c r="A322" s="14">
        <v>42</v>
      </c>
      <c r="B322" s="15" t="s">
        <v>353</v>
      </c>
      <c r="C322" s="16">
        <v>12</v>
      </c>
      <c r="D322" s="17">
        <f>VLOOKUP(E322,Sheet2!A:C,2,FALSE)</f>
        <v>41</v>
      </c>
      <c r="E322" s="15" t="s">
        <v>488</v>
      </c>
      <c r="F322" s="17">
        <v>16</v>
      </c>
      <c r="G322" s="5" t="str">
        <f t="shared" si="12"/>
        <v>MULT</v>
      </c>
      <c r="H322" s="9">
        <v>2</v>
      </c>
      <c r="I322" s="9"/>
      <c r="J322" s="4" t="str">
        <f t="shared" si="13"/>
        <v>YES</v>
      </c>
      <c r="K322" s="15" t="s">
        <v>354</v>
      </c>
      <c r="L322" s="18" t="s">
        <v>777</v>
      </c>
      <c r="M322" s="6" t="str">
        <f t="shared" si="14"/>
        <v>'MAR-16-2' =&gt; array('N'=&gt;'', 'C'=&gt;"Jesus Preaches to the Multitude", 'F'=&gt;'NT-Gospel-183-Jesus-Preaches-to-the-Multitude'),</v>
      </c>
    </row>
    <row r="323" spans="1:13" s="18" customFormat="1" x14ac:dyDescent="0.25">
      <c r="A323" s="7">
        <v>40</v>
      </c>
      <c r="B323" s="4" t="s">
        <v>310</v>
      </c>
      <c r="C323" s="12">
        <v>28</v>
      </c>
      <c r="D323" s="5">
        <f>VLOOKUP(E323,Sheet2!A:C,2,FALSE)</f>
        <v>41</v>
      </c>
      <c r="E323" s="4" t="s">
        <v>488</v>
      </c>
      <c r="F323" s="5">
        <v>16</v>
      </c>
      <c r="G323" s="5" t="str">
        <f t="shared" ref="G323:G386" si="15">IF(E323&lt;&gt;E322,"",IF(F323&lt;&gt;F322,"","MULT"))</f>
        <v>MULT</v>
      </c>
      <c r="H323" s="9">
        <v>3</v>
      </c>
      <c r="I323" s="9"/>
      <c r="J323" s="4" t="str">
        <f t="shared" ref="J323:J386" si="16">IF(A323&lt;&gt;D323,"YES",IF(INT(C323)&lt;&gt;F323,"YES",""))</f>
        <v>YES</v>
      </c>
      <c r="K323" s="4" t="s">
        <v>311</v>
      </c>
      <c r="L323" s="6" t="s">
        <v>811</v>
      </c>
      <c r="M323" s="6" t="str">
        <f t="shared" ref="M323:M386" si="17">"'"&amp;E323&amp;"-"&amp;F323&amp;IF(H323="","","-")&amp;H323&amp;"' =&gt; array('N'=&gt;'"&amp;I323&amp;"', 'C'=&gt;"""&amp;K323&amp;""", 'F'=&gt;'"&amp;L323&amp;"'),"</f>
        <v>'MAR-16-3' =&gt; array('N'=&gt;'', 'C'=&gt;"The Angel and Women at the Empty Tomb", 'F'=&gt;'NT-Gospel-220-The-Angel-and-Women-at-the-Empty-Tomb'),</v>
      </c>
    </row>
    <row r="324" spans="1:13" s="18" customFormat="1" x14ac:dyDescent="0.25">
      <c r="A324" s="7">
        <v>42</v>
      </c>
      <c r="B324" s="4" t="s">
        <v>374</v>
      </c>
      <c r="C324" s="12">
        <v>24.2</v>
      </c>
      <c r="D324" s="5">
        <f>VLOOKUP(E324,Sheet2!A:C,2,FALSE)</f>
        <v>41</v>
      </c>
      <c r="E324" s="4" t="s">
        <v>488</v>
      </c>
      <c r="F324" s="5">
        <v>16</v>
      </c>
      <c r="G324" s="5" t="str">
        <f t="shared" si="15"/>
        <v>MULT</v>
      </c>
      <c r="H324" s="9">
        <v>4</v>
      </c>
      <c r="I324" s="9"/>
      <c r="J324" s="4" t="str">
        <f t="shared" si="16"/>
        <v>YES</v>
      </c>
      <c r="K324" s="4" t="s">
        <v>375</v>
      </c>
      <c r="L324" s="6" t="s">
        <v>812</v>
      </c>
      <c r="M324" s="6" t="str">
        <f t="shared" si="17"/>
        <v>'MAR-16-4' =&gt; array('N'=&gt;'', 'C'=&gt;"Jesus Ascends to Heaven", 'F'=&gt;'NT-Gospel-223-Jesus-Ascends-to-Heaven'),</v>
      </c>
    </row>
    <row r="325" spans="1:13" s="18" customFormat="1" x14ac:dyDescent="0.25">
      <c r="A325" s="7">
        <v>42</v>
      </c>
      <c r="B325" s="4" t="s">
        <v>331</v>
      </c>
      <c r="C325" s="12">
        <v>1</v>
      </c>
      <c r="D325" s="5">
        <f>VLOOKUP(E325,Sheet2!A:C,2,FALSE)</f>
        <v>42</v>
      </c>
      <c r="E325" s="4" t="s">
        <v>487</v>
      </c>
      <c r="F325" s="5">
        <v>1</v>
      </c>
      <c r="G325" s="5" t="str">
        <f t="shared" si="15"/>
        <v/>
      </c>
      <c r="H325" s="9"/>
      <c r="I325" s="9">
        <v>2</v>
      </c>
      <c r="J325" s="4" t="str">
        <f t="shared" si="16"/>
        <v/>
      </c>
      <c r="K325" s="4" t="s">
        <v>332</v>
      </c>
      <c r="L325" s="6" t="s">
        <v>767</v>
      </c>
      <c r="M325" s="6" t="str">
        <f t="shared" si="17"/>
        <v>'LUK-1' =&gt; array('N'=&gt;'2', 'C'=&gt;"The Annunciation", 'F'=&gt;'NT-Gospel-161-The-Annunciation'),</v>
      </c>
    </row>
    <row r="326" spans="1:13" s="18" customFormat="1" x14ac:dyDescent="0.25">
      <c r="A326" s="7">
        <v>41</v>
      </c>
      <c r="B326" s="4" t="s">
        <v>312</v>
      </c>
      <c r="C326" s="12">
        <v>1.1000000000000001</v>
      </c>
      <c r="D326" s="5">
        <f>VLOOKUP(E326,Sheet2!A:C,2,FALSE)</f>
        <v>42</v>
      </c>
      <c r="E326" s="4" t="s">
        <v>487</v>
      </c>
      <c r="F326" s="5">
        <v>1</v>
      </c>
      <c r="G326" s="5" t="str">
        <f t="shared" si="15"/>
        <v>MULT</v>
      </c>
      <c r="H326" s="9">
        <v>2</v>
      </c>
      <c r="I326" s="9"/>
      <c r="J326" s="4" t="str">
        <f t="shared" si="16"/>
        <v>YES</v>
      </c>
      <c r="K326" s="4" t="s">
        <v>313</v>
      </c>
      <c r="L326" s="6" t="s">
        <v>772</v>
      </c>
      <c r="M326" s="6" t="str">
        <f t="shared" si="17"/>
        <v>'LUK-1-2' =&gt; array('N'=&gt;'', 'C'=&gt;"John the Baptist Preaches in the Wilderness", 'F'=&gt;'NT-Gospel-167-John-the-Baptist-Preaches-in-the-Wilderness'),</v>
      </c>
    </row>
    <row r="327" spans="1:13" s="18" customFormat="1" x14ac:dyDescent="0.25">
      <c r="A327" s="7">
        <v>42</v>
      </c>
      <c r="B327" s="4" t="s">
        <v>333</v>
      </c>
      <c r="C327" s="12">
        <v>2.1</v>
      </c>
      <c r="D327" s="5">
        <f>VLOOKUP(E327,Sheet2!A:C,2,FALSE)</f>
        <v>42</v>
      </c>
      <c r="E327" s="4" t="s">
        <v>487</v>
      </c>
      <c r="F327" s="5">
        <v>2</v>
      </c>
      <c r="G327" s="5" t="str">
        <f t="shared" si="15"/>
        <v/>
      </c>
      <c r="H327" s="9"/>
      <c r="I327" s="9">
        <v>2</v>
      </c>
      <c r="J327" s="4" t="str">
        <f t="shared" si="16"/>
        <v/>
      </c>
      <c r="K327" s="4" t="s">
        <v>334</v>
      </c>
      <c r="L327" s="6" t="s">
        <v>768</v>
      </c>
      <c r="M327" s="6" t="str">
        <f t="shared" si="17"/>
        <v>'LUK-2' =&gt; array('N'=&gt;'2', 'C'=&gt;"The Birth of Jesus", 'F'=&gt;'NT-Gospel-162-The-Birth-of-Jesus'),</v>
      </c>
    </row>
    <row r="328" spans="1:13" s="18" customFormat="1" x14ac:dyDescent="0.25">
      <c r="A328" s="7">
        <v>42</v>
      </c>
      <c r="B328" s="4" t="s">
        <v>335</v>
      </c>
      <c r="C328" s="12">
        <v>2.2000000000000002</v>
      </c>
      <c r="D328" s="5">
        <f>VLOOKUP(E328,Sheet2!A:C,2,FALSE)</f>
        <v>42</v>
      </c>
      <c r="E328" s="4" t="s">
        <v>487</v>
      </c>
      <c r="F328" s="5">
        <v>2</v>
      </c>
      <c r="G328" s="5" t="str">
        <f t="shared" si="15"/>
        <v>MULT</v>
      </c>
      <c r="H328" s="9">
        <v>2</v>
      </c>
      <c r="I328" s="9"/>
      <c r="J328" s="4" t="str">
        <f t="shared" si="16"/>
        <v/>
      </c>
      <c r="K328" s="4" t="s">
        <v>336</v>
      </c>
      <c r="L328" s="6" t="s">
        <v>815</v>
      </c>
      <c r="M328" s="6" t="str">
        <f t="shared" si="17"/>
        <v>'LUK-2-2' =&gt; array('N'=&gt;'', 'C'=&gt;"Jesus Questions the Doctors", 'F'=&gt;'NT-Gospel-166-Jesus-Questions-the-Doctors'),</v>
      </c>
    </row>
    <row r="329" spans="1:13" s="18" customFormat="1" x14ac:dyDescent="0.25">
      <c r="A329" s="7">
        <v>1</v>
      </c>
      <c r="B329" s="4" t="s">
        <v>28</v>
      </c>
      <c r="C329" s="12">
        <v>22</v>
      </c>
      <c r="D329" s="5">
        <f>VLOOKUP(E329,Sheet2!A:C,2,FALSE)</f>
        <v>42</v>
      </c>
      <c r="E329" s="4" t="s">
        <v>487</v>
      </c>
      <c r="F329" s="5">
        <v>3</v>
      </c>
      <c r="G329" s="5" t="str">
        <f t="shared" si="15"/>
        <v/>
      </c>
      <c r="H329" s="9"/>
      <c r="I329" s="9">
        <v>3</v>
      </c>
      <c r="J329" s="4" t="str">
        <f t="shared" si="16"/>
        <v>YES</v>
      </c>
      <c r="K329" s="4" t="s">
        <v>29</v>
      </c>
      <c r="L329" s="6" t="s">
        <v>643</v>
      </c>
      <c r="M329" s="6" t="str">
        <f t="shared" si="17"/>
        <v>'LUK-3' =&gt; array('N'=&gt;'3', 'C'=&gt;"The Testing of Abraham's Faith", 'F'=&gt;'Hebrew-OT-016-The-Testing-of-Abrahams-Faith'),</v>
      </c>
    </row>
    <row r="330" spans="1:13" s="18" customFormat="1" x14ac:dyDescent="0.25">
      <c r="A330" s="7">
        <v>10</v>
      </c>
      <c r="B330" s="4" t="s">
        <v>162</v>
      </c>
      <c r="C330" s="12">
        <v>18.2</v>
      </c>
      <c r="D330" s="5">
        <f>VLOOKUP(E330,Sheet2!A:C,2,FALSE)</f>
        <v>42</v>
      </c>
      <c r="E330" s="4" t="s">
        <v>487</v>
      </c>
      <c r="F330" s="5">
        <v>3</v>
      </c>
      <c r="G330" s="5" t="str">
        <f t="shared" si="15"/>
        <v>MULT</v>
      </c>
      <c r="H330" s="9">
        <v>2</v>
      </c>
      <c r="I330" s="9"/>
      <c r="J330" s="4" t="str">
        <f t="shared" si="16"/>
        <v>YES</v>
      </c>
      <c r="K330" s="4" t="s">
        <v>163</v>
      </c>
      <c r="L330" s="6" t="s">
        <v>712</v>
      </c>
      <c r="M330" s="6" t="str">
        <f t="shared" si="17"/>
        <v>'LUK-3-2' =&gt; array('N'=&gt;'', 'C'=&gt;"David Mourns the Death of Absalom", 'F'=&gt;'Hebrew-OT-086-David-Mourns-the-Death-of-Absalom'),</v>
      </c>
    </row>
    <row r="331" spans="1:13" s="18" customFormat="1" x14ac:dyDescent="0.25">
      <c r="A331" s="7">
        <v>43</v>
      </c>
      <c r="B331" s="4" t="s">
        <v>376</v>
      </c>
      <c r="C331" s="12">
        <v>1</v>
      </c>
      <c r="D331" s="5">
        <f>VLOOKUP(E331,Sheet2!A:C,2,FALSE)</f>
        <v>42</v>
      </c>
      <c r="E331" s="4" t="s">
        <v>487</v>
      </c>
      <c r="F331" s="5">
        <v>3</v>
      </c>
      <c r="G331" s="5" t="str">
        <f t="shared" si="15"/>
        <v>MULT</v>
      </c>
      <c r="H331" s="9">
        <v>3</v>
      </c>
      <c r="I331" s="9"/>
      <c r="J331" s="4" t="str">
        <f t="shared" si="16"/>
        <v>YES</v>
      </c>
      <c r="K331" s="4" t="s">
        <v>377</v>
      </c>
      <c r="L331" s="6" t="s">
        <v>773</v>
      </c>
      <c r="M331" s="6" t="str">
        <f t="shared" si="17"/>
        <v>'LUK-3-3' =&gt; array('N'=&gt;'', 'C'=&gt;"The Baptism of Jesus", 'F'=&gt;'NT-Gospel-168-The-Baptism-of-Jesus'),</v>
      </c>
    </row>
    <row r="332" spans="1:13" s="18" customFormat="1" x14ac:dyDescent="0.25">
      <c r="A332" s="7">
        <v>23</v>
      </c>
      <c r="B332" s="4" t="s">
        <v>246</v>
      </c>
      <c r="C332" s="12">
        <v>6</v>
      </c>
      <c r="D332" s="5">
        <f>VLOOKUP(E332,Sheet2!A:C,2,FALSE)</f>
        <v>42</v>
      </c>
      <c r="E332" s="4" t="s">
        <v>487</v>
      </c>
      <c r="F332" s="5">
        <v>4</v>
      </c>
      <c r="G332" s="5" t="str">
        <f t="shared" si="15"/>
        <v/>
      </c>
      <c r="H332" s="9"/>
      <c r="I332" s="9">
        <v>6</v>
      </c>
      <c r="J332" s="4" t="str">
        <f t="shared" si="16"/>
        <v>YES</v>
      </c>
      <c r="K332" s="4" t="s">
        <v>247</v>
      </c>
      <c r="L332" s="6" t="s">
        <v>749</v>
      </c>
      <c r="M332" s="6" t="str">
        <f t="shared" si="17"/>
        <v>'LUK-4' =&gt; array('N'=&gt;'6', 'C'=&gt;"The Prophet Isaiah", 'F'=&gt;'Hebrew-OT-110-The-Prophet-Isaiah'),</v>
      </c>
    </row>
    <row r="333" spans="1:13" s="18" customFormat="1" x14ac:dyDescent="0.25">
      <c r="A333" s="7">
        <v>42</v>
      </c>
      <c r="B333" s="4" t="s">
        <v>337</v>
      </c>
      <c r="C333" s="12">
        <v>4.0999999999999996</v>
      </c>
      <c r="D333" s="5">
        <f>VLOOKUP(E333,Sheet2!A:C,2,FALSE)</f>
        <v>42</v>
      </c>
      <c r="E333" s="4" t="s">
        <v>487</v>
      </c>
      <c r="F333" s="5">
        <v>4</v>
      </c>
      <c r="G333" s="5" t="str">
        <f t="shared" si="15"/>
        <v>MULT</v>
      </c>
      <c r="H333" s="9">
        <v>2</v>
      </c>
      <c r="I333" s="9"/>
      <c r="J333" s="4" t="str">
        <f t="shared" si="16"/>
        <v/>
      </c>
      <c r="K333" s="4" t="s">
        <v>338</v>
      </c>
      <c r="L333" s="6" t="s">
        <v>774</v>
      </c>
      <c r="M333" s="6" t="str">
        <f t="shared" si="17"/>
        <v>'LUK-4-2' =&gt; array('N'=&gt;'', 'C'=&gt;"The Temptation of Jesus", 'F'=&gt;'NT-Gospel-169-The-Temptation-of-Jesus'),</v>
      </c>
    </row>
    <row r="334" spans="1:13" s="18" customFormat="1" x14ac:dyDescent="0.25">
      <c r="A334" s="7">
        <v>41</v>
      </c>
      <c r="B334" s="4" t="s">
        <v>314</v>
      </c>
      <c r="C334" s="12">
        <v>1.2</v>
      </c>
      <c r="D334" s="17">
        <f>VLOOKUP(E334,Sheet2!A:C,2,FALSE)</f>
        <v>42</v>
      </c>
      <c r="E334" s="15" t="s">
        <v>487</v>
      </c>
      <c r="F334" s="17">
        <v>4</v>
      </c>
      <c r="G334" s="5" t="str">
        <f t="shared" si="15"/>
        <v>MULT</v>
      </c>
      <c r="H334" s="9">
        <v>3</v>
      </c>
      <c r="I334" s="9"/>
      <c r="J334" s="4" t="str">
        <f t="shared" si="16"/>
        <v>YES</v>
      </c>
      <c r="K334" s="4" t="s">
        <v>315</v>
      </c>
      <c r="L334" s="6" t="s">
        <v>775</v>
      </c>
      <c r="M334" s="6" t="str">
        <f t="shared" si="17"/>
        <v>'LUK-4-3' =&gt; array('N'=&gt;'', 'C'=&gt;"Jesus Preaches in the Synagogue", 'F'=&gt;'NT-Gospel-172-Jesus-Preaches-in-the-Synagogue'),</v>
      </c>
    </row>
    <row r="335" spans="1:13" s="18" customFormat="1" x14ac:dyDescent="0.25">
      <c r="A335" s="7">
        <v>42</v>
      </c>
      <c r="B335" s="4" t="s">
        <v>339</v>
      </c>
      <c r="C335" s="12">
        <v>4.2</v>
      </c>
      <c r="D335" s="5">
        <f>VLOOKUP(E335,Sheet2!A:C,2,FALSE)</f>
        <v>42</v>
      </c>
      <c r="E335" s="4" t="s">
        <v>487</v>
      </c>
      <c r="F335" s="5">
        <v>4</v>
      </c>
      <c r="G335" s="5" t="str">
        <f t="shared" si="15"/>
        <v>MULT</v>
      </c>
      <c r="H335" s="9">
        <v>4</v>
      </c>
      <c r="I335" s="9"/>
      <c r="J335" s="4" t="str">
        <f t="shared" si="16"/>
        <v/>
      </c>
      <c r="K335" s="4" t="s">
        <v>340</v>
      </c>
      <c r="L335" s="6" t="s">
        <v>776</v>
      </c>
      <c r="M335" s="6" t="str">
        <f t="shared" si="17"/>
        <v>'LUK-4-4' =&gt; array('N'=&gt;'', 'C'=&gt;"Jesus Heals a Demoniac", 'F'=&gt;'NT-Gospel-173-Jesus-Heals-a-Demoniac'),</v>
      </c>
    </row>
    <row r="336" spans="1:13" s="18" customFormat="1" x14ac:dyDescent="0.25">
      <c r="A336" s="14">
        <v>42</v>
      </c>
      <c r="B336" s="15" t="s">
        <v>353</v>
      </c>
      <c r="C336" s="16">
        <v>12</v>
      </c>
      <c r="D336" s="17">
        <f>VLOOKUP(E336,Sheet2!A:C,2,FALSE)</f>
        <v>42</v>
      </c>
      <c r="E336" s="15" t="s">
        <v>487</v>
      </c>
      <c r="F336" s="17">
        <v>4</v>
      </c>
      <c r="G336" s="5" t="str">
        <f t="shared" si="15"/>
        <v>MULT</v>
      </c>
      <c r="H336" s="9">
        <v>5</v>
      </c>
      <c r="I336" s="9"/>
      <c r="J336" s="4" t="str">
        <f t="shared" si="16"/>
        <v>YES</v>
      </c>
      <c r="K336" s="15" t="s">
        <v>354</v>
      </c>
      <c r="L336" s="18" t="s">
        <v>777</v>
      </c>
      <c r="M336" s="6" t="str">
        <f t="shared" si="17"/>
        <v>'LUK-4-5' =&gt; array('N'=&gt;'', 'C'=&gt;"Jesus Preaches to the Multitude", 'F'=&gt;'NT-Gospel-183-Jesus-Preaches-to-the-Multitude'),</v>
      </c>
    </row>
    <row r="337" spans="1:13" s="18" customFormat="1" x14ac:dyDescent="0.25">
      <c r="A337" s="7">
        <v>40</v>
      </c>
      <c r="B337" s="4" t="s">
        <v>296</v>
      </c>
      <c r="C337" s="12">
        <v>15</v>
      </c>
      <c r="D337" s="5">
        <f>VLOOKUP(E337,Sheet2!A:C,2,FALSE)</f>
        <v>42</v>
      </c>
      <c r="E337" s="4" t="s">
        <v>487</v>
      </c>
      <c r="F337" s="5">
        <v>4</v>
      </c>
      <c r="G337" s="5" t="str">
        <f t="shared" si="15"/>
        <v>MULT</v>
      </c>
      <c r="H337" s="9">
        <v>6</v>
      </c>
      <c r="I337" s="9"/>
      <c r="J337" s="4" t="str">
        <f t="shared" si="16"/>
        <v>YES</v>
      </c>
      <c r="K337" s="4" t="s">
        <v>297</v>
      </c>
      <c r="L337" s="6" t="s">
        <v>778</v>
      </c>
      <c r="M337" s="6" t="str">
        <f t="shared" si="17"/>
        <v>'LUK-4-6' =&gt; array('N'=&gt;'', 'C'=&gt;"Jesus Heals the Sick", 'F'=&gt;'NT-Gospel-186-Jesus-Heals-the-Sick'),</v>
      </c>
    </row>
    <row r="338" spans="1:13" x14ac:dyDescent="0.25">
      <c r="A338" s="7">
        <v>42</v>
      </c>
      <c r="B338" s="4" t="s">
        <v>341</v>
      </c>
      <c r="C338" s="12">
        <v>5</v>
      </c>
      <c r="D338" s="5">
        <f>VLOOKUP(E338,Sheet2!A:C,2,FALSE)</f>
        <v>42</v>
      </c>
      <c r="E338" s="4" t="s">
        <v>487</v>
      </c>
      <c r="F338" s="5">
        <v>5</v>
      </c>
      <c r="G338" s="5" t="str">
        <f t="shared" si="15"/>
        <v/>
      </c>
      <c r="H338" s="9"/>
      <c r="I338" s="9">
        <v>2</v>
      </c>
      <c r="J338" s="4" t="str">
        <f t="shared" si="16"/>
        <v/>
      </c>
      <c r="K338" s="4" t="s">
        <v>342</v>
      </c>
      <c r="L338" s="6" t="s">
        <v>783</v>
      </c>
      <c r="M338" s="6" t="str">
        <f t="shared" si="17"/>
        <v>'LUK-5' =&gt; array('N'=&gt;'2', 'C'=&gt;"Jesus Preaches at the Sea of Galilee", 'F'=&gt;'NT-Gospel-174-Jesus-Preaches-at-the-Sea-of-Galilee'),</v>
      </c>
    </row>
    <row r="339" spans="1:13" x14ac:dyDescent="0.25">
      <c r="A339" s="7">
        <v>40</v>
      </c>
      <c r="B339" s="4" t="s">
        <v>296</v>
      </c>
      <c r="C339" s="12">
        <v>15</v>
      </c>
      <c r="D339" s="5">
        <f>VLOOKUP(E339,Sheet2!A:C,2,FALSE)</f>
        <v>42</v>
      </c>
      <c r="E339" s="4" t="s">
        <v>487</v>
      </c>
      <c r="F339" s="5">
        <v>5</v>
      </c>
      <c r="G339" s="5" t="str">
        <f t="shared" si="15"/>
        <v>MULT</v>
      </c>
      <c r="H339" s="9">
        <v>2</v>
      </c>
      <c r="I339" s="9"/>
      <c r="J339" s="4" t="str">
        <f t="shared" si="16"/>
        <v>YES</v>
      </c>
      <c r="K339" s="4" t="s">
        <v>297</v>
      </c>
      <c r="L339" s="6" t="s">
        <v>778</v>
      </c>
      <c r="M339" s="6" t="str">
        <f t="shared" si="17"/>
        <v>'LUK-5-2' =&gt; array('N'=&gt;'', 'C'=&gt;"Jesus Heals the Sick", 'F'=&gt;'NT-Gospel-186-Jesus-Heals-the-Sick'),</v>
      </c>
    </row>
    <row r="340" spans="1:13" x14ac:dyDescent="0.25">
      <c r="A340" s="7">
        <v>41</v>
      </c>
      <c r="B340" s="4" t="s">
        <v>314</v>
      </c>
      <c r="C340" s="12">
        <v>1.2</v>
      </c>
      <c r="D340" s="17">
        <f>VLOOKUP(E340,Sheet2!A:C,2,FALSE)</f>
        <v>42</v>
      </c>
      <c r="E340" s="15" t="s">
        <v>487</v>
      </c>
      <c r="F340" s="17">
        <v>6</v>
      </c>
      <c r="G340" s="5" t="str">
        <f t="shared" si="15"/>
        <v/>
      </c>
      <c r="H340" s="9"/>
      <c r="I340" s="9">
        <v>4</v>
      </c>
      <c r="J340" s="4" t="str">
        <f t="shared" si="16"/>
        <v>YES</v>
      </c>
      <c r="K340" s="4" t="s">
        <v>315</v>
      </c>
      <c r="L340" s="6" t="s">
        <v>775</v>
      </c>
      <c r="M340" s="6" t="str">
        <f t="shared" si="17"/>
        <v>'LUK-6' =&gt; array('N'=&gt;'4', 'C'=&gt;"Jesus Preaches in the Synagogue", 'F'=&gt;'NT-Gospel-172-Jesus-Preaches-in-the-Synagogue'),</v>
      </c>
    </row>
    <row r="341" spans="1:13" x14ac:dyDescent="0.25">
      <c r="A341" s="7">
        <v>40</v>
      </c>
      <c r="B341" s="4" t="s">
        <v>289</v>
      </c>
      <c r="C341" s="12">
        <v>6</v>
      </c>
      <c r="D341" s="5">
        <f>VLOOKUP(E341,Sheet2!A:C,2,FALSE)</f>
        <v>42</v>
      </c>
      <c r="E341" s="4" t="s">
        <v>487</v>
      </c>
      <c r="F341" s="5">
        <v>6</v>
      </c>
      <c r="G341" s="5" t="str">
        <f t="shared" si="15"/>
        <v>MULT</v>
      </c>
      <c r="H341" s="9">
        <v>2</v>
      </c>
      <c r="I341" s="9"/>
      <c r="J341" s="4" t="str">
        <f t="shared" si="16"/>
        <v>YES</v>
      </c>
      <c r="K341" s="4" t="s">
        <v>290</v>
      </c>
      <c r="L341" s="6" t="s">
        <v>779</v>
      </c>
      <c r="M341" s="6" t="str">
        <f t="shared" si="17"/>
        <v>'LUK-6-2' =&gt; array('N'=&gt;'', 'C'=&gt;"The Sermon on the Mount", 'F'=&gt;'NT-Gospel-175-The-Sermon-on-the-Mount'),</v>
      </c>
    </row>
    <row r="342" spans="1:13" x14ac:dyDescent="0.25">
      <c r="A342" s="7">
        <v>41</v>
      </c>
      <c r="B342" s="4" t="s">
        <v>316</v>
      </c>
      <c r="C342" s="12">
        <v>2</v>
      </c>
      <c r="D342" s="5">
        <f>VLOOKUP(E342,Sheet2!A:C,2,FALSE)</f>
        <v>42</v>
      </c>
      <c r="E342" s="4" t="s">
        <v>487</v>
      </c>
      <c r="F342" s="5">
        <v>6</v>
      </c>
      <c r="G342" s="5" t="str">
        <f t="shared" si="15"/>
        <v>MULT</v>
      </c>
      <c r="H342" s="9">
        <v>3</v>
      </c>
      <c r="I342" s="9"/>
      <c r="J342" s="4" t="str">
        <f t="shared" si="16"/>
        <v>YES</v>
      </c>
      <c r="K342" s="4" t="s">
        <v>317</v>
      </c>
      <c r="L342" s="6" t="s">
        <v>781</v>
      </c>
      <c r="M342" s="6" t="str">
        <f t="shared" si="17"/>
        <v>'LUK-6-3' =&gt; array('N'=&gt;'', 'C'=&gt;"The Disciples Pluck Grain on the Sabbath", 'F'=&gt;'NT-Gospel-176-The-Disciples-Pluck-Grain-on-the-Sabbath'),</v>
      </c>
    </row>
    <row r="343" spans="1:13" x14ac:dyDescent="0.25">
      <c r="A343" s="14">
        <v>42</v>
      </c>
      <c r="B343" s="15" t="s">
        <v>353</v>
      </c>
      <c r="C343" s="16">
        <v>12</v>
      </c>
      <c r="D343" s="17">
        <f>VLOOKUP(E343,Sheet2!A:C,2,FALSE)</f>
        <v>42</v>
      </c>
      <c r="E343" s="15" t="s">
        <v>487</v>
      </c>
      <c r="F343" s="17">
        <v>6</v>
      </c>
      <c r="G343" s="5" t="str">
        <f t="shared" si="15"/>
        <v>MULT</v>
      </c>
      <c r="H343" s="9">
        <v>4</v>
      </c>
      <c r="I343" s="9"/>
      <c r="J343" s="4" t="str">
        <f t="shared" si="16"/>
        <v>YES</v>
      </c>
      <c r="K343" s="15" t="s">
        <v>354</v>
      </c>
      <c r="L343" s="18" t="s">
        <v>777</v>
      </c>
      <c r="M343" s="6" t="str">
        <f t="shared" si="17"/>
        <v>'LUK-6-4' =&gt; array('N'=&gt;'', 'C'=&gt;"Jesus Preaches to the Multitude", 'F'=&gt;'NT-Gospel-183-Jesus-Preaches-to-the-Multitude'),</v>
      </c>
    </row>
    <row r="344" spans="1:13" x14ac:dyDescent="0.25">
      <c r="A344" s="7">
        <v>42</v>
      </c>
      <c r="B344" s="4" t="s">
        <v>343</v>
      </c>
      <c r="C344" s="12">
        <v>7</v>
      </c>
      <c r="D344" s="5">
        <f>VLOOKUP(E344,Sheet2!A:C,2,FALSE)</f>
        <v>42</v>
      </c>
      <c r="E344" s="4" t="s">
        <v>487</v>
      </c>
      <c r="F344" s="5">
        <v>7</v>
      </c>
      <c r="G344" s="5" t="str">
        <f t="shared" si="15"/>
        <v/>
      </c>
      <c r="H344" s="9"/>
      <c r="I344" s="9">
        <v>2</v>
      </c>
      <c r="J344" s="4" t="str">
        <f t="shared" si="16"/>
        <v/>
      </c>
      <c r="K344" s="4" t="s">
        <v>344</v>
      </c>
      <c r="L344" s="6" t="s">
        <v>816</v>
      </c>
      <c r="M344" s="6" t="str">
        <f t="shared" si="17"/>
        <v>'LUK-7' =&gt; array('N'=&gt;'2', 'C'=&gt;"A Sinful Woman Repents", 'F'=&gt;'NT-Gospel-177-A-Sinful-Woman-Repents'),</v>
      </c>
    </row>
    <row r="345" spans="1:13" x14ac:dyDescent="0.25">
      <c r="A345" s="7">
        <v>40</v>
      </c>
      <c r="B345" s="4" t="s">
        <v>296</v>
      </c>
      <c r="C345" s="12">
        <v>15</v>
      </c>
      <c r="D345" s="5">
        <f>VLOOKUP(E345,Sheet2!A:C,2,FALSE)</f>
        <v>42</v>
      </c>
      <c r="E345" s="4" t="s">
        <v>487</v>
      </c>
      <c r="F345" s="5">
        <v>7</v>
      </c>
      <c r="G345" s="5" t="str">
        <f t="shared" si="15"/>
        <v>MULT</v>
      </c>
      <c r="H345" s="9">
        <v>2</v>
      </c>
      <c r="I345" s="9"/>
      <c r="J345" s="4" t="str">
        <f t="shared" si="16"/>
        <v>YES</v>
      </c>
      <c r="K345" s="4" t="s">
        <v>297</v>
      </c>
      <c r="L345" s="6" t="s">
        <v>778</v>
      </c>
      <c r="M345" s="6" t="str">
        <f t="shared" si="17"/>
        <v>'LUK-7-2' =&gt; array('N'=&gt;'', 'C'=&gt;"Jesus Heals the Sick", 'F'=&gt;'NT-Gospel-186-Jesus-Heals-the-Sick'),</v>
      </c>
    </row>
    <row r="346" spans="1:13" x14ac:dyDescent="0.25">
      <c r="A346" s="7">
        <v>42</v>
      </c>
      <c r="B346" s="4" t="s">
        <v>339</v>
      </c>
      <c r="C346" s="12">
        <v>4.2</v>
      </c>
      <c r="D346" s="5">
        <f>VLOOKUP(E346,Sheet2!A:C,2,FALSE)</f>
        <v>42</v>
      </c>
      <c r="E346" s="4" t="s">
        <v>487</v>
      </c>
      <c r="F346" s="5">
        <v>8</v>
      </c>
      <c r="G346" s="5" t="str">
        <f t="shared" si="15"/>
        <v/>
      </c>
      <c r="H346" s="9"/>
      <c r="I346" s="9">
        <v>3</v>
      </c>
      <c r="J346" s="4" t="str">
        <f t="shared" si="16"/>
        <v>YES</v>
      </c>
      <c r="K346" s="4" t="s">
        <v>340</v>
      </c>
      <c r="L346" s="6" t="s">
        <v>776</v>
      </c>
      <c r="M346" s="6" t="str">
        <f t="shared" si="17"/>
        <v>'LUK-8' =&gt; array('N'=&gt;'3', 'C'=&gt;"Jesus Heals a Demoniac", 'F'=&gt;'NT-Gospel-173-Jesus-Heals-a-Demoniac'),</v>
      </c>
    </row>
    <row r="347" spans="1:13" x14ac:dyDescent="0.25">
      <c r="A347" s="7">
        <v>41</v>
      </c>
      <c r="B347" s="4" t="s">
        <v>318</v>
      </c>
      <c r="C347" s="12">
        <v>4</v>
      </c>
      <c r="D347" s="5">
        <f>VLOOKUP(E347,Sheet2!A:C,2,FALSE)</f>
        <v>42</v>
      </c>
      <c r="E347" s="4" t="s">
        <v>487</v>
      </c>
      <c r="F347" s="5">
        <v>8</v>
      </c>
      <c r="G347" s="5" t="str">
        <f t="shared" si="15"/>
        <v>MULT</v>
      </c>
      <c r="H347" s="9">
        <v>2</v>
      </c>
      <c r="I347" s="9"/>
      <c r="J347" s="4" t="str">
        <f t="shared" si="16"/>
        <v>YES</v>
      </c>
      <c r="K347" s="4" t="s">
        <v>463</v>
      </c>
      <c r="L347" s="6" t="s">
        <v>780</v>
      </c>
      <c r="M347" s="6" t="str">
        <f t="shared" si="17"/>
        <v>'LUK-8-2' =&gt; array('N'=&gt;'', 'C'=&gt;"Jesus Stills the Storm", 'F'=&gt;'NT-Gospel-179-Jesus-Stills-the-Storm'),</v>
      </c>
    </row>
    <row r="348" spans="1:13" x14ac:dyDescent="0.25">
      <c r="A348" s="7">
        <v>42</v>
      </c>
      <c r="B348" s="4" t="s">
        <v>345</v>
      </c>
      <c r="C348" s="12">
        <v>8</v>
      </c>
      <c r="D348" s="5">
        <f>VLOOKUP(E348,Sheet2!A:C,2,FALSE)</f>
        <v>42</v>
      </c>
      <c r="E348" s="4" t="s">
        <v>487</v>
      </c>
      <c r="F348" s="5">
        <v>8</v>
      </c>
      <c r="G348" s="5" t="str">
        <f t="shared" si="15"/>
        <v>MULT</v>
      </c>
      <c r="H348" s="9">
        <v>3</v>
      </c>
      <c r="I348" s="9"/>
      <c r="J348" s="4" t="str">
        <f t="shared" si="16"/>
        <v/>
      </c>
      <c r="K348" s="4" t="s">
        <v>346</v>
      </c>
      <c r="L348" s="6" t="s">
        <v>813</v>
      </c>
      <c r="M348" s="6" t="str">
        <f t="shared" si="17"/>
        <v>'LUK-8-3' =&gt; array('N'=&gt;'', 'C'=&gt;"Jesus Raises the Daughter of Jairus", 'F'=&gt;'NT-Gospel-180-Jesus-Raises-the-Daughter-of-Jairus'),</v>
      </c>
    </row>
    <row r="349" spans="1:13" x14ac:dyDescent="0.25">
      <c r="A349" s="7">
        <v>12</v>
      </c>
      <c r="B349" s="4" t="s">
        <v>183</v>
      </c>
      <c r="C349" s="12">
        <v>2.1</v>
      </c>
      <c r="D349" s="5">
        <f>VLOOKUP(E349,Sheet2!A:C,2,FALSE)</f>
        <v>42</v>
      </c>
      <c r="E349" s="4" t="s">
        <v>487</v>
      </c>
      <c r="F349" s="5">
        <v>9</v>
      </c>
      <c r="G349" s="5" t="str">
        <f t="shared" si="15"/>
        <v/>
      </c>
      <c r="H349" s="9"/>
      <c r="I349" s="9">
        <v>6</v>
      </c>
      <c r="J349" s="4" t="str">
        <f t="shared" si="16"/>
        <v>YES</v>
      </c>
      <c r="K349" s="4" t="s">
        <v>184</v>
      </c>
      <c r="L349" s="6" t="s">
        <v>724</v>
      </c>
      <c r="M349" s="6" t="str">
        <f t="shared" si="17"/>
        <v>'LUK-9' =&gt; array('N'=&gt;'6', 'C'=&gt;"Elijah Ascends to Heaven in a Chariot of Fire", 'F'=&gt;'Hebrew-OT-102-Elijah-Ascends-to-Heaven-in-a-Chariot-of-Fire'),</v>
      </c>
    </row>
    <row r="350" spans="1:13" x14ac:dyDescent="0.25">
      <c r="A350" s="7">
        <v>42</v>
      </c>
      <c r="B350" s="4" t="s">
        <v>339</v>
      </c>
      <c r="C350" s="12">
        <v>4.2</v>
      </c>
      <c r="D350" s="5">
        <f>VLOOKUP(E350,Sheet2!A:C,2,FALSE)</f>
        <v>42</v>
      </c>
      <c r="E350" s="4" t="s">
        <v>487</v>
      </c>
      <c r="F350" s="5">
        <v>9</v>
      </c>
      <c r="G350" s="5" t="str">
        <f t="shared" si="15"/>
        <v>MULT</v>
      </c>
      <c r="H350" s="9">
        <v>2</v>
      </c>
      <c r="I350" s="9"/>
      <c r="J350" s="4" t="str">
        <f t="shared" si="16"/>
        <v>YES</v>
      </c>
      <c r="K350" s="4" t="s">
        <v>340</v>
      </c>
      <c r="L350" s="6" t="s">
        <v>776</v>
      </c>
      <c r="M350" s="6" t="str">
        <f t="shared" si="17"/>
        <v>'LUK-9-2' =&gt; array('N'=&gt;'', 'C'=&gt;"Jesus Heals a Demoniac", 'F'=&gt;'NT-Gospel-173-Jesus-Heals-a-Demoniac'),</v>
      </c>
    </row>
    <row r="351" spans="1:13" x14ac:dyDescent="0.25">
      <c r="A351" s="7">
        <v>40</v>
      </c>
      <c r="B351" s="4" t="s">
        <v>292</v>
      </c>
      <c r="C351" s="12">
        <v>14.1</v>
      </c>
      <c r="D351" s="5">
        <f>VLOOKUP(E351,Sheet2!A:C,2,FALSE)</f>
        <v>42</v>
      </c>
      <c r="E351" s="4" t="s">
        <v>487</v>
      </c>
      <c r="F351" s="5">
        <v>9</v>
      </c>
      <c r="G351" s="5" t="str">
        <f t="shared" si="15"/>
        <v>MULT</v>
      </c>
      <c r="H351" s="9">
        <v>3</v>
      </c>
      <c r="I351" s="9"/>
      <c r="J351" s="4" t="str">
        <f t="shared" si="16"/>
        <v>YES</v>
      </c>
      <c r="K351" s="4" t="s">
        <v>293</v>
      </c>
      <c r="L351" s="6" t="s">
        <v>784</v>
      </c>
      <c r="M351" s="6" t="str">
        <f t="shared" si="17"/>
        <v>'LUK-9-3' =&gt; array('N'=&gt;'', 'C'=&gt;"Herod's Daughter Receives the Head of John the Baptist", 'F'=&gt;'NT-Gospel-182-Herods-Daughter-Receives-the-Head-of-John-the-Baptist'),</v>
      </c>
    </row>
    <row r="352" spans="1:13" x14ac:dyDescent="0.25">
      <c r="A352" s="7">
        <v>40</v>
      </c>
      <c r="B352" s="4" t="s">
        <v>294</v>
      </c>
      <c r="C352" s="12">
        <v>14.2</v>
      </c>
      <c r="D352" s="5">
        <f>VLOOKUP(E352,Sheet2!A:C,2,FALSE)</f>
        <v>42</v>
      </c>
      <c r="E352" s="4" t="s">
        <v>487</v>
      </c>
      <c r="F352" s="5">
        <v>9</v>
      </c>
      <c r="G352" s="5" t="str">
        <f t="shared" si="15"/>
        <v>MULT</v>
      </c>
      <c r="H352" s="9">
        <v>4</v>
      </c>
      <c r="I352" s="9"/>
      <c r="J352" s="4" t="str">
        <f t="shared" si="16"/>
        <v>YES</v>
      </c>
      <c r="K352" s="4" t="s">
        <v>295</v>
      </c>
      <c r="L352" s="6" t="s">
        <v>785</v>
      </c>
      <c r="M352" s="6" t="str">
        <f t="shared" si="17"/>
        <v>'LUK-9-4' =&gt; array('N'=&gt;'', 'C'=&gt;"Jesus Feeds the Multitudes", 'F'=&gt;'NT-Gospel-184-Jesus-Feeds-the-Multitudes'),</v>
      </c>
    </row>
    <row r="353" spans="1:13" x14ac:dyDescent="0.25">
      <c r="A353" s="7">
        <v>41</v>
      </c>
      <c r="B353" s="4" t="s">
        <v>319</v>
      </c>
      <c r="C353" s="12">
        <v>9</v>
      </c>
      <c r="D353" s="5">
        <f>VLOOKUP(E353,Sheet2!A:C,2,FALSE)</f>
        <v>42</v>
      </c>
      <c r="E353" s="4" t="s">
        <v>487</v>
      </c>
      <c r="F353" s="5">
        <v>9</v>
      </c>
      <c r="G353" s="5" t="str">
        <f t="shared" si="15"/>
        <v>MULT</v>
      </c>
      <c r="H353" s="9">
        <v>5</v>
      </c>
      <c r="I353" s="9"/>
      <c r="J353" s="4" t="str">
        <f t="shared" si="16"/>
        <v>YES</v>
      </c>
      <c r="K353" s="4" t="s">
        <v>320</v>
      </c>
      <c r="L353" s="6" t="s">
        <v>787</v>
      </c>
      <c r="M353" s="6" t="str">
        <f t="shared" si="17"/>
        <v>'LUK-9-5' =&gt; array('N'=&gt;'', 'C'=&gt;"The Transfiguration", 'F'=&gt;'NT-Gospel-187-The-Transfiguration'),</v>
      </c>
    </row>
    <row r="354" spans="1:13" x14ac:dyDescent="0.25">
      <c r="A354" s="7">
        <v>40</v>
      </c>
      <c r="B354" s="4" t="s">
        <v>298</v>
      </c>
      <c r="C354" s="12">
        <v>17</v>
      </c>
      <c r="D354" s="5">
        <f>VLOOKUP(E354,Sheet2!A:C,2,FALSE)</f>
        <v>42</v>
      </c>
      <c r="E354" s="4" t="s">
        <v>487</v>
      </c>
      <c r="F354" s="5">
        <v>9</v>
      </c>
      <c r="G354" s="5" t="str">
        <f t="shared" si="15"/>
        <v>MULT</v>
      </c>
      <c r="H354" s="9">
        <v>6</v>
      </c>
      <c r="I354" s="9"/>
      <c r="J354" s="4" t="str">
        <f t="shared" si="16"/>
        <v>YES</v>
      </c>
      <c r="K354" s="4" t="s">
        <v>299</v>
      </c>
      <c r="L354" s="6" t="s">
        <v>788</v>
      </c>
      <c r="M354" s="6" t="str">
        <f t="shared" si="17"/>
        <v>'LUK-9-6' =&gt; array('N'=&gt;'', 'C'=&gt;"Jesus Heals the Epileptic Demoniac", 'F'=&gt;'NT-Gospel-188-Jesus-Heals-the-Epileptic-Demoniac'),</v>
      </c>
    </row>
    <row r="355" spans="1:13" x14ac:dyDescent="0.25">
      <c r="A355" s="7">
        <v>42</v>
      </c>
      <c r="B355" s="4" t="s">
        <v>351</v>
      </c>
      <c r="C355" s="12">
        <v>10.3</v>
      </c>
      <c r="D355" s="5">
        <f>VLOOKUP(E355,Sheet2!A:C,2,FALSE)</f>
        <v>42</v>
      </c>
      <c r="E355" s="4" t="s">
        <v>487</v>
      </c>
      <c r="F355" s="5">
        <v>10</v>
      </c>
      <c r="G355" s="5" t="str">
        <f t="shared" si="15"/>
        <v/>
      </c>
      <c r="H355" s="9"/>
      <c r="I355" s="9">
        <v>3</v>
      </c>
      <c r="J355" s="4" t="str">
        <f t="shared" si="16"/>
        <v/>
      </c>
      <c r="K355" s="4" t="s">
        <v>352</v>
      </c>
      <c r="L355" s="6" t="s">
        <v>817</v>
      </c>
      <c r="M355" s="6" t="str">
        <f t="shared" si="17"/>
        <v>'LUK-10' =&gt; array('N'=&gt;'3', 'C'=&gt;"Jesus at the House of Martha and Mary", 'F'=&gt;'NT-Gospel-181-Jesus-at-the-House-of-Martha-and-Mary'),</v>
      </c>
    </row>
    <row r="356" spans="1:13" x14ac:dyDescent="0.25">
      <c r="A356" s="7">
        <v>42</v>
      </c>
      <c r="B356" s="4" t="s">
        <v>347</v>
      </c>
      <c r="C356" s="12">
        <v>10.1</v>
      </c>
      <c r="D356" s="5">
        <f>VLOOKUP(E356,Sheet2!A:C,2,FALSE)</f>
        <v>42</v>
      </c>
      <c r="E356" s="4" t="s">
        <v>487</v>
      </c>
      <c r="F356" s="5">
        <v>10</v>
      </c>
      <c r="G356" s="5" t="str">
        <f t="shared" si="15"/>
        <v>MULT</v>
      </c>
      <c r="H356" s="9">
        <v>2</v>
      </c>
      <c r="I356" s="9"/>
      <c r="J356" s="4" t="str">
        <f t="shared" si="16"/>
        <v/>
      </c>
      <c r="K356" s="4" t="s">
        <v>348</v>
      </c>
      <c r="L356" s="6" t="s">
        <v>818</v>
      </c>
      <c r="M356" s="6" t="str">
        <f t="shared" si="17"/>
        <v>'LUK-10-2' =&gt; array('N'=&gt;'', 'C'=&gt;"The Parable of the Good Samaritan", 'F'=&gt;'NT-Gospel-190-The-Parable-of-the-Good-Samaritan'),</v>
      </c>
    </row>
    <row r="357" spans="1:13" x14ac:dyDescent="0.25">
      <c r="A357" s="7">
        <v>42</v>
      </c>
      <c r="B357" s="4" t="s">
        <v>349</v>
      </c>
      <c r="C357" s="12">
        <v>10.199999999999999</v>
      </c>
      <c r="D357" s="5">
        <f>VLOOKUP(E357,Sheet2!A:C,2,FALSE)</f>
        <v>42</v>
      </c>
      <c r="E357" s="4" t="s">
        <v>487</v>
      </c>
      <c r="F357" s="5">
        <v>10</v>
      </c>
      <c r="G357" s="5" t="str">
        <f t="shared" si="15"/>
        <v>MULT</v>
      </c>
      <c r="H357" s="9">
        <v>3</v>
      </c>
      <c r="I357" s="9"/>
      <c r="J357" s="4" t="str">
        <f t="shared" si="16"/>
        <v/>
      </c>
      <c r="K357" s="4" t="s">
        <v>350</v>
      </c>
      <c r="L357" s="6" t="s">
        <v>819</v>
      </c>
      <c r="M357" s="6" t="str">
        <f t="shared" si="17"/>
        <v>'LUK-10-3' =&gt; array('N'=&gt;'', 'C'=&gt;"The Good Samaritan Arrives at the Inn", 'F'=&gt;'NT-Gospel-191-The-Good-Samaritan-Arrives-at-the-Inn'),</v>
      </c>
    </row>
    <row r="358" spans="1:13" x14ac:dyDescent="0.25">
      <c r="A358" s="7">
        <v>1</v>
      </c>
      <c r="B358" s="4" t="s">
        <v>8</v>
      </c>
      <c r="C358" s="12">
        <v>4.2</v>
      </c>
      <c r="D358" s="5">
        <f>VLOOKUP(E358,Sheet2!A:C,2,FALSE)</f>
        <v>42</v>
      </c>
      <c r="E358" s="4" t="s">
        <v>487</v>
      </c>
      <c r="F358" s="5">
        <v>11</v>
      </c>
      <c r="G358" s="5" t="str">
        <f t="shared" si="15"/>
        <v/>
      </c>
      <c r="H358" s="9"/>
      <c r="I358" s="9">
        <v>7</v>
      </c>
      <c r="J358" s="4" t="str">
        <f t="shared" si="16"/>
        <v>YES</v>
      </c>
      <c r="K358" s="4" t="s">
        <v>9</v>
      </c>
      <c r="L358" s="6" t="s">
        <v>632</v>
      </c>
      <c r="M358" s="6" t="str">
        <f t="shared" si="17"/>
        <v>'LUK-11' =&gt; array('N'=&gt;'7', 'C'=&gt;"Cain Slays Abel", 'F'=&gt;'Hebrew-OT-005-Cain-Slays-Abel'),</v>
      </c>
    </row>
    <row r="359" spans="1:13" x14ac:dyDescent="0.25">
      <c r="A359" s="7">
        <v>14</v>
      </c>
      <c r="B359" s="4" t="s">
        <v>202</v>
      </c>
      <c r="C359" s="12">
        <v>9</v>
      </c>
      <c r="D359" s="5">
        <f>VLOOKUP(E359,Sheet2!A:C,2,FALSE)</f>
        <v>42</v>
      </c>
      <c r="E359" s="4" t="s">
        <v>487</v>
      </c>
      <c r="F359" s="5">
        <v>11</v>
      </c>
      <c r="G359" s="5" t="str">
        <f t="shared" si="15"/>
        <v>MULT</v>
      </c>
      <c r="H359" s="9">
        <v>2</v>
      </c>
      <c r="I359" s="9"/>
      <c r="J359" s="4" t="str">
        <f t="shared" si="16"/>
        <v>YES</v>
      </c>
      <c r="K359" s="4" t="s">
        <v>203</v>
      </c>
      <c r="L359" s="6" t="s">
        <v>734</v>
      </c>
      <c r="M359" s="6" t="str">
        <f t="shared" si="17"/>
        <v>'LUK-11-2' =&gt; array('N'=&gt;'', 'C'=&gt;"Solomon Receives the Queen of Sheba", 'F'=&gt;'Hebrew-OT-092-Solomon-Receives-the-Queen-of-Sheba'),</v>
      </c>
    </row>
    <row r="360" spans="1:13" x14ac:dyDescent="0.25">
      <c r="A360" s="7">
        <v>38</v>
      </c>
      <c r="B360" s="4" t="s">
        <v>281</v>
      </c>
      <c r="C360" s="12">
        <v>6</v>
      </c>
      <c r="D360" s="5">
        <f>VLOOKUP(E360,Sheet2!A:C,2,FALSE)</f>
        <v>42</v>
      </c>
      <c r="E360" s="4" t="s">
        <v>487</v>
      </c>
      <c r="F360" s="5">
        <v>11</v>
      </c>
      <c r="G360" s="5" t="str">
        <f t="shared" si="15"/>
        <v>MULT</v>
      </c>
      <c r="H360" s="9">
        <v>3</v>
      </c>
      <c r="I360" s="9"/>
      <c r="J360" s="4" t="str">
        <f t="shared" si="16"/>
        <v>YES</v>
      </c>
      <c r="K360" s="4" t="s">
        <v>282</v>
      </c>
      <c r="L360" s="6" t="s">
        <v>766</v>
      </c>
      <c r="M360" s="6" t="str">
        <f t="shared" si="17"/>
        <v>'LUK-11-3' =&gt; array('N'=&gt;'', 'C'=&gt;"Zechariah's Vision of Four Chariots", 'F'=&gt;'Hebrew-OT-129-Zechariahs-Vision-of-Four-Chariots'),</v>
      </c>
    </row>
    <row r="361" spans="1:13" x14ac:dyDescent="0.25">
      <c r="A361" s="7">
        <v>32</v>
      </c>
      <c r="B361" s="4" t="s">
        <v>276</v>
      </c>
      <c r="C361" s="12">
        <v>2</v>
      </c>
      <c r="D361" s="5">
        <f>VLOOKUP(E361,Sheet2!A:C,2,FALSE)</f>
        <v>42</v>
      </c>
      <c r="E361" s="4" t="s">
        <v>487</v>
      </c>
      <c r="F361" s="5">
        <v>11</v>
      </c>
      <c r="G361" s="5" t="str">
        <f t="shared" si="15"/>
        <v>MULT</v>
      </c>
      <c r="H361" s="9">
        <v>4</v>
      </c>
      <c r="I361" s="9"/>
      <c r="J361" s="4" t="str">
        <f t="shared" si="16"/>
        <v>YES</v>
      </c>
      <c r="K361" s="4" t="s">
        <v>447</v>
      </c>
      <c r="L361" s="6" t="s">
        <v>763</v>
      </c>
      <c r="M361" s="6" t="str">
        <f t="shared" si="17"/>
        <v>'LUK-11-4' =&gt; array('N'=&gt;'', 'C'=&gt;"Jonah is Spewed Forth by the Whale", 'F'=&gt;'Hebrew-OT-138-Jonah-is-Spewed-Forth-by-the-Whale'),</v>
      </c>
    </row>
    <row r="362" spans="1:13" x14ac:dyDescent="0.25">
      <c r="A362" s="7">
        <v>32</v>
      </c>
      <c r="B362" s="4" t="s">
        <v>277</v>
      </c>
      <c r="C362" s="12">
        <v>3</v>
      </c>
      <c r="D362" s="5">
        <f>VLOOKUP(E362,Sheet2!A:C,2,FALSE)</f>
        <v>42</v>
      </c>
      <c r="E362" s="4" t="s">
        <v>487</v>
      </c>
      <c r="F362" s="5">
        <v>11</v>
      </c>
      <c r="G362" s="5" t="str">
        <f t="shared" si="15"/>
        <v>MULT</v>
      </c>
      <c r="H362" s="9">
        <v>5</v>
      </c>
      <c r="I362" s="9"/>
      <c r="J362" s="4" t="str">
        <f t="shared" si="16"/>
        <v>YES</v>
      </c>
      <c r="K362" s="4" t="s">
        <v>278</v>
      </c>
      <c r="L362" s="6" t="s">
        <v>764</v>
      </c>
      <c r="M362" s="6" t="str">
        <f t="shared" si="17"/>
        <v>'LUK-11-5' =&gt; array('N'=&gt;'', 'C'=&gt;"Jonah Preaches to the Ninevites", 'F'=&gt;'Hebrew-OT-139-Jonah-Preaches-to-the-Ninevites'),</v>
      </c>
    </row>
    <row r="363" spans="1:13" x14ac:dyDescent="0.25">
      <c r="A363" s="7">
        <v>41</v>
      </c>
      <c r="B363" s="4" t="s">
        <v>314</v>
      </c>
      <c r="C363" s="12">
        <v>1.2</v>
      </c>
      <c r="D363" s="17">
        <f>VLOOKUP(E363,Sheet2!A:C,2,FALSE)</f>
        <v>42</v>
      </c>
      <c r="E363" s="15" t="s">
        <v>487</v>
      </c>
      <c r="F363" s="17">
        <v>11</v>
      </c>
      <c r="G363" s="5" t="str">
        <f t="shared" si="15"/>
        <v>MULT</v>
      </c>
      <c r="H363" s="9">
        <v>6</v>
      </c>
      <c r="I363" s="9"/>
      <c r="J363" s="4" t="str">
        <f t="shared" si="16"/>
        <v>YES</v>
      </c>
      <c r="K363" s="4" t="s">
        <v>315</v>
      </c>
      <c r="L363" s="6" t="s">
        <v>775</v>
      </c>
      <c r="M363" s="6" t="str">
        <f t="shared" si="17"/>
        <v>'LUK-11-6' =&gt; array('N'=&gt;'', 'C'=&gt;"Jesus Preaches in the Synagogue", 'F'=&gt;'NT-Gospel-172-Jesus-Preaches-in-the-Synagogue'),</v>
      </c>
    </row>
    <row r="364" spans="1:13" x14ac:dyDescent="0.25">
      <c r="A364" s="14">
        <v>42</v>
      </c>
      <c r="B364" s="15" t="s">
        <v>353</v>
      </c>
      <c r="C364" s="16">
        <v>12</v>
      </c>
      <c r="D364" s="17">
        <f>VLOOKUP(E364,Sheet2!A:C,2,FALSE)</f>
        <v>42</v>
      </c>
      <c r="E364" s="15" t="s">
        <v>487</v>
      </c>
      <c r="F364" s="17">
        <v>11</v>
      </c>
      <c r="G364" s="5" t="str">
        <f t="shared" si="15"/>
        <v>MULT</v>
      </c>
      <c r="H364" s="9">
        <v>7</v>
      </c>
      <c r="I364" s="9"/>
      <c r="J364" s="4" t="str">
        <f t="shared" si="16"/>
        <v>YES</v>
      </c>
      <c r="K364" s="15" t="s">
        <v>354</v>
      </c>
      <c r="L364" s="18" t="s">
        <v>777</v>
      </c>
      <c r="M364" s="6" t="str">
        <f t="shared" si="17"/>
        <v>'LUK-11-7' =&gt; array('N'=&gt;'', 'C'=&gt;"Jesus Preaches to the Multitude", 'F'=&gt;'NT-Gospel-183-Jesus-Preaches-to-the-Multitude'),</v>
      </c>
    </row>
    <row r="365" spans="1:13" x14ac:dyDescent="0.25">
      <c r="A365" s="7">
        <v>14</v>
      </c>
      <c r="B365" s="4" t="s">
        <v>202</v>
      </c>
      <c r="C365" s="12">
        <v>9</v>
      </c>
      <c r="D365" s="5">
        <f>VLOOKUP(E365,Sheet2!A:C,2,FALSE)</f>
        <v>42</v>
      </c>
      <c r="E365" s="4" t="s">
        <v>487</v>
      </c>
      <c r="F365" s="5">
        <v>12</v>
      </c>
      <c r="G365" s="5" t="str">
        <f t="shared" si="15"/>
        <v/>
      </c>
      <c r="H365" s="9"/>
      <c r="I365" s="9">
        <v>3</v>
      </c>
      <c r="J365" s="4" t="str">
        <f t="shared" si="16"/>
        <v>YES</v>
      </c>
      <c r="K365" s="4" t="s">
        <v>203</v>
      </c>
      <c r="L365" s="6" t="s">
        <v>734</v>
      </c>
      <c r="M365" s="6" t="str">
        <f t="shared" si="17"/>
        <v>'LUK-12' =&gt; array('N'=&gt;'3', 'C'=&gt;"Solomon Receives the Queen of Sheba", 'F'=&gt;'Hebrew-OT-092-Solomon-Receives-the-Queen-of-Sheba'),</v>
      </c>
    </row>
    <row r="366" spans="1:13" x14ac:dyDescent="0.25">
      <c r="A366" s="7">
        <v>41</v>
      </c>
      <c r="B366" s="4" t="s">
        <v>314</v>
      </c>
      <c r="C366" s="12">
        <v>1.2</v>
      </c>
      <c r="D366" s="17">
        <f>VLOOKUP(E366,Sheet2!A:C,2,FALSE)</f>
        <v>42</v>
      </c>
      <c r="E366" s="15" t="s">
        <v>487</v>
      </c>
      <c r="F366" s="17">
        <v>12</v>
      </c>
      <c r="G366" s="5" t="str">
        <f t="shared" si="15"/>
        <v>MULT</v>
      </c>
      <c r="H366" s="9">
        <v>2</v>
      </c>
      <c r="I366" s="9"/>
      <c r="J366" s="4" t="str">
        <f t="shared" si="16"/>
        <v>YES</v>
      </c>
      <c r="K366" s="4" t="s">
        <v>315</v>
      </c>
      <c r="L366" s="6" t="s">
        <v>775</v>
      </c>
      <c r="M366" s="6" t="str">
        <f t="shared" si="17"/>
        <v>'LUK-12-2' =&gt; array('N'=&gt;'', 'C'=&gt;"Jesus Preaches in the Synagogue", 'F'=&gt;'NT-Gospel-172-Jesus-Preaches-in-the-Synagogue'),</v>
      </c>
    </row>
    <row r="367" spans="1:13" x14ac:dyDescent="0.25">
      <c r="A367" s="14">
        <v>42</v>
      </c>
      <c r="B367" s="15" t="s">
        <v>353</v>
      </c>
      <c r="C367" s="16">
        <v>12</v>
      </c>
      <c r="D367" s="17">
        <f>VLOOKUP(E367,Sheet2!A:C,2,FALSE)</f>
        <v>42</v>
      </c>
      <c r="E367" s="15" t="s">
        <v>487</v>
      </c>
      <c r="F367" s="17">
        <v>12</v>
      </c>
      <c r="G367" s="5" t="str">
        <f t="shared" si="15"/>
        <v>MULT</v>
      </c>
      <c r="H367" s="9">
        <v>3</v>
      </c>
      <c r="I367" s="9"/>
      <c r="J367" s="4" t="str">
        <f t="shared" si="16"/>
        <v/>
      </c>
      <c r="K367" s="15" t="s">
        <v>354</v>
      </c>
      <c r="L367" s="18" t="s">
        <v>777</v>
      </c>
      <c r="M367" s="6" t="str">
        <f t="shared" si="17"/>
        <v>'LUK-12-3' =&gt; array('N'=&gt;'', 'C'=&gt;"Jesus Preaches to the Multitude", 'F'=&gt;'NT-Gospel-183-Jesus-Preaches-to-the-Multitude'),</v>
      </c>
    </row>
    <row r="368" spans="1:13" x14ac:dyDescent="0.25">
      <c r="A368" s="7">
        <v>41</v>
      </c>
      <c r="B368" s="4" t="s">
        <v>314</v>
      </c>
      <c r="C368" s="12">
        <v>1.2</v>
      </c>
      <c r="D368" s="17">
        <f>VLOOKUP(E368,Sheet2!A:C,2,FALSE)</f>
        <v>42</v>
      </c>
      <c r="E368" s="15" t="s">
        <v>487</v>
      </c>
      <c r="F368" s="17">
        <v>13</v>
      </c>
      <c r="G368" s="5" t="str">
        <f t="shared" si="15"/>
        <v/>
      </c>
      <c r="H368" s="9"/>
      <c r="I368" s="9">
        <v>2</v>
      </c>
      <c r="J368" s="4" t="str">
        <f t="shared" si="16"/>
        <v>YES</v>
      </c>
      <c r="K368" s="4" t="s">
        <v>315</v>
      </c>
      <c r="L368" s="6" t="s">
        <v>775</v>
      </c>
      <c r="M368" s="6" t="str">
        <f t="shared" si="17"/>
        <v>'LUK-13' =&gt; array('N'=&gt;'2', 'C'=&gt;"Jesus Preaches in the Synagogue", 'F'=&gt;'NT-Gospel-172-Jesus-Preaches-in-the-Synagogue'),</v>
      </c>
    </row>
    <row r="369" spans="1:13" x14ac:dyDescent="0.25">
      <c r="A369" s="14">
        <v>42</v>
      </c>
      <c r="B369" s="15" t="s">
        <v>353</v>
      </c>
      <c r="C369" s="16">
        <v>12</v>
      </c>
      <c r="D369" s="17">
        <f>VLOOKUP(E369,Sheet2!A:C,2,FALSE)</f>
        <v>42</v>
      </c>
      <c r="E369" s="15" t="s">
        <v>487</v>
      </c>
      <c r="F369" s="17">
        <v>13</v>
      </c>
      <c r="G369" s="5" t="str">
        <f t="shared" si="15"/>
        <v>MULT</v>
      </c>
      <c r="H369" s="9">
        <v>2</v>
      </c>
      <c r="I369" s="9"/>
      <c r="J369" s="4" t="str">
        <f t="shared" si="16"/>
        <v>YES</v>
      </c>
      <c r="K369" s="15" t="s">
        <v>354</v>
      </c>
      <c r="L369" s="18" t="s">
        <v>777</v>
      </c>
      <c r="M369" s="6" t="str">
        <f t="shared" si="17"/>
        <v>'LUK-13-2' =&gt; array('N'=&gt;'', 'C'=&gt;"Jesus Preaches to the Multitude", 'F'=&gt;'NT-Gospel-183-Jesus-Preaches-to-the-Multitude'),</v>
      </c>
    </row>
    <row r="370" spans="1:13" x14ac:dyDescent="0.25">
      <c r="A370" s="7">
        <v>42</v>
      </c>
      <c r="B370" s="4" t="s">
        <v>355</v>
      </c>
      <c r="C370" s="12">
        <v>15.1</v>
      </c>
      <c r="D370" s="5">
        <f>VLOOKUP(E370,Sheet2!A:C,2,FALSE)</f>
        <v>42</v>
      </c>
      <c r="E370" s="4" t="s">
        <v>487</v>
      </c>
      <c r="F370" s="5">
        <v>15</v>
      </c>
      <c r="G370" s="5" t="str">
        <f t="shared" si="15"/>
        <v/>
      </c>
      <c r="H370" s="9"/>
      <c r="I370" s="9">
        <v>2</v>
      </c>
      <c r="J370" s="4" t="str">
        <f t="shared" si="16"/>
        <v/>
      </c>
      <c r="K370" s="4" t="s">
        <v>356</v>
      </c>
      <c r="L370" s="6" t="s">
        <v>820</v>
      </c>
      <c r="M370" s="6" t="str">
        <f t="shared" si="17"/>
        <v>'LUK-15' =&gt; array('N'=&gt;'2', 'C'=&gt;"The Prodigal Son Returns Home", 'F'=&gt;'NT-Gospel-193-The-Prodigal-Son-Returns-Home'),</v>
      </c>
    </row>
    <row r="371" spans="1:13" x14ac:dyDescent="0.25">
      <c r="A371" s="7">
        <v>42</v>
      </c>
      <c r="B371" s="4" t="s">
        <v>357</v>
      </c>
      <c r="C371" s="12">
        <v>15.2</v>
      </c>
      <c r="D371" s="5">
        <f>VLOOKUP(E371,Sheet2!A:C,2,FALSE)</f>
        <v>42</v>
      </c>
      <c r="E371" s="4" t="s">
        <v>487</v>
      </c>
      <c r="F371" s="5">
        <v>15</v>
      </c>
      <c r="G371" s="5" t="str">
        <f t="shared" si="15"/>
        <v>MULT</v>
      </c>
      <c r="H371" s="9">
        <v>2</v>
      </c>
      <c r="I371" s="9"/>
      <c r="J371" s="4" t="str">
        <f t="shared" si="16"/>
        <v/>
      </c>
      <c r="K371" s="4" t="s">
        <v>358</v>
      </c>
      <c r="L371" s="6" t="s">
        <v>821</v>
      </c>
      <c r="M371" s="6" t="str">
        <f t="shared" si="17"/>
        <v>'LUK-15-2' =&gt; array('N'=&gt;'', 'C'=&gt;"The Prodigal Son in His Father's Arms", 'F'=&gt;'NT-Gospel-194-The-Prodigal-Son-in-His-Fathers-Arms'),</v>
      </c>
    </row>
    <row r="372" spans="1:13" x14ac:dyDescent="0.25">
      <c r="A372" s="7">
        <v>41</v>
      </c>
      <c r="B372" s="4" t="s">
        <v>314</v>
      </c>
      <c r="C372" s="12">
        <v>1.2</v>
      </c>
      <c r="D372" s="17">
        <f>VLOOKUP(E372,Sheet2!A:C,2,FALSE)</f>
        <v>42</v>
      </c>
      <c r="E372" s="15" t="s">
        <v>487</v>
      </c>
      <c r="F372" s="17">
        <v>16</v>
      </c>
      <c r="G372" s="5" t="str">
        <f t="shared" si="15"/>
        <v/>
      </c>
      <c r="H372" s="9"/>
      <c r="I372" s="9">
        <v>3</v>
      </c>
      <c r="J372" s="4" t="str">
        <f t="shared" si="16"/>
        <v>YES</v>
      </c>
      <c r="K372" s="4" t="s">
        <v>315</v>
      </c>
      <c r="L372" s="6" t="s">
        <v>775</v>
      </c>
      <c r="M372" s="6" t="str">
        <f t="shared" si="17"/>
        <v>'LUK-16' =&gt; array('N'=&gt;'3', 'C'=&gt;"Jesus Preaches in the Synagogue", 'F'=&gt;'NT-Gospel-172-Jesus-Preaches-in-the-Synagogue'),</v>
      </c>
    </row>
    <row r="373" spans="1:13" x14ac:dyDescent="0.25">
      <c r="A373" s="14">
        <v>42</v>
      </c>
      <c r="B373" s="15" t="s">
        <v>353</v>
      </c>
      <c r="C373" s="16">
        <v>12</v>
      </c>
      <c r="D373" s="17">
        <f>VLOOKUP(E373,Sheet2!A:C,2,FALSE)</f>
        <v>42</v>
      </c>
      <c r="E373" s="15" t="s">
        <v>487</v>
      </c>
      <c r="F373" s="17">
        <v>16</v>
      </c>
      <c r="G373" s="5" t="str">
        <f t="shared" si="15"/>
        <v>MULT</v>
      </c>
      <c r="H373" s="9">
        <v>2</v>
      </c>
      <c r="I373" s="9"/>
      <c r="J373" s="4" t="str">
        <f t="shared" si="16"/>
        <v>YES</v>
      </c>
      <c r="K373" s="15" t="s">
        <v>354</v>
      </c>
      <c r="L373" s="18" t="s">
        <v>777</v>
      </c>
      <c r="M373" s="6" t="str">
        <f t="shared" si="17"/>
        <v>'LUK-16-2' =&gt; array('N'=&gt;'', 'C'=&gt;"Jesus Preaches to the Multitude", 'F'=&gt;'NT-Gospel-183-Jesus-Preaches-to-the-Multitude'),</v>
      </c>
    </row>
    <row r="374" spans="1:13" x14ac:dyDescent="0.25">
      <c r="A374" s="7">
        <v>42</v>
      </c>
      <c r="B374" s="4" t="s">
        <v>359</v>
      </c>
      <c r="C374" s="12">
        <v>16</v>
      </c>
      <c r="D374" s="5">
        <f>VLOOKUP(E374,Sheet2!A:C,2,FALSE)</f>
        <v>42</v>
      </c>
      <c r="E374" s="4" t="s">
        <v>487</v>
      </c>
      <c r="F374" s="5">
        <v>16</v>
      </c>
      <c r="G374" s="5" t="str">
        <f t="shared" si="15"/>
        <v>MULT</v>
      </c>
      <c r="H374" s="9">
        <v>3</v>
      </c>
      <c r="I374" s="9"/>
      <c r="J374" s="4" t="str">
        <f t="shared" si="16"/>
        <v/>
      </c>
      <c r="K374" s="4" t="s">
        <v>360</v>
      </c>
      <c r="L374" s="6" t="s">
        <v>822</v>
      </c>
      <c r="M374" s="6" t="str">
        <f t="shared" si="17"/>
        <v>'LUK-16-3' =&gt; array('N'=&gt;'', 'C'=&gt;"Lazarus outside the Rich Man's House", 'F'=&gt;'NT-Gospel-195-Lazarus-outside-the-Rich-Mans-House'),</v>
      </c>
    </row>
    <row r="375" spans="1:13" x14ac:dyDescent="0.25">
      <c r="A375" s="7">
        <v>41</v>
      </c>
      <c r="B375" s="4" t="s">
        <v>321</v>
      </c>
      <c r="C375" s="12">
        <v>10</v>
      </c>
      <c r="D375" s="5">
        <f>VLOOKUP(E375,Sheet2!A:C,2,FALSE)</f>
        <v>42</v>
      </c>
      <c r="E375" s="4" t="s">
        <v>487</v>
      </c>
      <c r="F375" s="5">
        <v>18</v>
      </c>
      <c r="G375" s="5" t="str">
        <f t="shared" si="15"/>
        <v/>
      </c>
      <c r="H375" s="9"/>
      <c r="I375" s="9">
        <v>2</v>
      </c>
      <c r="J375" s="4" t="str">
        <f t="shared" si="16"/>
        <v>YES</v>
      </c>
      <c r="K375" s="4" t="s">
        <v>322</v>
      </c>
      <c r="L375" s="6" t="s">
        <v>789</v>
      </c>
      <c r="M375" s="6" t="str">
        <f t="shared" si="17"/>
        <v>'LUK-18' =&gt; array('N'=&gt;'2', 'C'=&gt;"Jesus Blesses the Little Children", 'F'=&gt;'NT-Gospel-192-Jesus-Blesses-the-Little-Children'),</v>
      </c>
    </row>
    <row r="376" spans="1:13" x14ac:dyDescent="0.25">
      <c r="A376" s="7">
        <v>42</v>
      </c>
      <c r="B376" s="4" t="s">
        <v>361</v>
      </c>
      <c r="C376" s="12">
        <v>18</v>
      </c>
      <c r="D376" s="5">
        <f>VLOOKUP(E376,Sheet2!A:C,2,FALSE)</f>
        <v>42</v>
      </c>
      <c r="E376" s="4" t="s">
        <v>487</v>
      </c>
      <c r="F376" s="5">
        <v>18</v>
      </c>
      <c r="G376" s="5" t="str">
        <f t="shared" si="15"/>
        <v>MULT</v>
      </c>
      <c r="H376" s="9">
        <v>2</v>
      </c>
      <c r="I376" s="9"/>
      <c r="J376" s="4" t="str">
        <f t="shared" si="16"/>
        <v/>
      </c>
      <c r="K376" s="4" t="s">
        <v>362</v>
      </c>
      <c r="L376" s="6" t="s">
        <v>823</v>
      </c>
      <c r="M376" s="6" t="str">
        <f t="shared" si="17"/>
        <v>'LUK-18-2' =&gt; array('N'=&gt;'', 'C'=&gt;"The Pharisee and the Publican", 'F'=&gt;'NT-Gospel-196-The-Pharisee-and-the-Publican'),</v>
      </c>
    </row>
    <row r="377" spans="1:13" x14ac:dyDescent="0.25">
      <c r="A377" s="7">
        <v>40</v>
      </c>
      <c r="B377" s="4" t="s">
        <v>300</v>
      </c>
      <c r="C377" s="12">
        <v>21</v>
      </c>
      <c r="D377" s="5">
        <f>VLOOKUP(E377,Sheet2!A:C,2,FALSE)</f>
        <v>42</v>
      </c>
      <c r="E377" s="4" t="s">
        <v>487</v>
      </c>
      <c r="F377" s="5">
        <v>19</v>
      </c>
      <c r="G377" s="5" t="str">
        <f t="shared" si="15"/>
        <v/>
      </c>
      <c r="H377" s="9"/>
      <c r="I377" s="9">
        <v>2</v>
      </c>
      <c r="J377" s="4" t="str">
        <f t="shared" si="16"/>
        <v>YES</v>
      </c>
      <c r="K377" s="4" t="s">
        <v>301</v>
      </c>
      <c r="L377" s="6" t="s">
        <v>790</v>
      </c>
      <c r="M377" s="6" t="str">
        <f t="shared" si="17"/>
        <v>'LUK-19' =&gt; array('N'=&gt;'2', 'C'=&gt;"Jesus Enters into Jerusalem", 'F'=&gt;'NT-Gospel-198-Jesus-Enters-into-Jerusalem'),</v>
      </c>
    </row>
    <row r="378" spans="1:13" x14ac:dyDescent="0.25">
      <c r="A378" s="7">
        <v>42</v>
      </c>
      <c r="B378" s="4" t="s">
        <v>363</v>
      </c>
      <c r="C378" s="12">
        <v>19</v>
      </c>
      <c r="D378" s="5">
        <f>VLOOKUP(E378,Sheet2!A:C,2,FALSE)</f>
        <v>42</v>
      </c>
      <c r="E378" s="4" t="s">
        <v>487</v>
      </c>
      <c r="F378" s="5">
        <v>19</v>
      </c>
      <c r="G378" s="5" t="str">
        <f t="shared" si="15"/>
        <v>MULT</v>
      </c>
      <c r="H378" s="9">
        <v>2</v>
      </c>
      <c r="I378" s="9"/>
      <c r="J378" s="4" t="str">
        <f t="shared" si="16"/>
        <v/>
      </c>
      <c r="K378" s="4" t="s">
        <v>364</v>
      </c>
      <c r="L378" s="6" t="s">
        <v>791</v>
      </c>
      <c r="M378" s="6" t="str">
        <f t="shared" si="17"/>
        <v>'LUK-19-2' =&gt; array('N'=&gt;'', 'C'=&gt;"Buyers and Sellers Are Driven Out of the Temple", 'F'=&gt;'NT-Gospel-199-Buyers-and-Sellers-Are-Driven-Out-of-the-Temple'),</v>
      </c>
    </row>
    <row r="379" spans="1:13" x14ac:dyDescent="0.25">
      <c r="A379" s="7">
        <v>41</v>
      </c>
      <c r="B379" s="4" t="s">
        <v>314</v>
      </c>
      <c r="C379" s="12">
        <v>1.2</v>
      </c>
      <c r="D379" s="17">
        <f>VLOOKUP(E379,Sheet2!A:C,2,FALSE)</f>
        <v>42</v>
      </c>
      <c r="E379" s="15" t="s">
        <v>487</v>
      </c>
      <c r="F379" s="17">
        <v>20</v>
      </c>
      <c r="G379" s="5" t="str">
        <f t="shared" si="15"/>
        <v/>
      </c>
      <c r="H379" s="9"/>
      <c r="I379" s="9">
        <v>2</v>
      </c>
      <c r="J379" s="4" t="str">
        <f t="shared" si="16"/>
        <v>YES</v>
      </c>
      <c r="K379" s="4" t="s">
        <v>315</v>
      </c>
      <c r="L379" s="6" t="s">
        <v>775</v>
      </c>
      <c r="M379" s="6" t="str">
        <f t="shared" si="17"/>
        <v>'LUK-20' =&gt; array('N'=&gt;'2', 'C'=&gt;"Jesus Preaches in the Synagogue", 'F'=&gt;'NT-Gospel-172-Jesus-Preaches-in-the-Synagogue'),</v>
      </c>
    </row>
    <row r="380" spans="1:13" x14ac:dyDescent="0.25">
      <c r="A380" s="14">
        <v>42</v>
      </c>
      <c r="B380" s="15" t="s">
        <v>353</v>
      </c>
      <c r="C380" s="16">
        <v>12</v>
      </c>
      <c r="D380" s="17">
        <f>VLOOKUP(E380,Sheet2!A:C,2,FALSE)</f>
        <v>42</v>
      </c>
      <c r="E380" s="15" t="s">
        <v>487</v>
      </c>
      <c r="F380" s="17">
        <v>20</v>
      </c>
      <c r="G380" s="5" t="str">
        <f t="shared" si="15"/>
        <v>MULT</v>
      </c>
      <c r="H380" s="9">
        <v>2</v>
      </c>
      <c r="I380" s="9"/>
      <c r="J380" s="4" t="str">
        <f t="shared" si="16"/>
        <v>YES</v>
      </c>
      <c r="K380" s="15" t="s">
        <v>354</v>
      </c>
      <c r="L380" s="18" t="s">
        <v>777</v>
      </c>
      <c r="M380" s="6" t="str">
        <f t="shared" si="17"/>
        <v>'LUK-20-2' =&gt; array('N'=&gt;'', 'C'=&gt;"Jesus Preaches to the Multitude", 'F'=&gt;'NT-Gospel-183-Jesus-Preaches-to-the-Multitude'),</v>
      </c>
    </row>
    <row r="381" spans="1:13" x14ac:dyDescent="0.25">
      <c r="A381" s="7">
        <v>41</v>
      </c>
      <c r="B381" s="4" t="s">
        <v>314</v>
      </c>
      <c r="C381" s="12">
        <v>1.2</v>
      </c>
      <c r="D381" s="17">
        <f>VLOOKUP(E381,Sheet2!A:C,2,FALSE)</f>
        <v>42</v>
      </c>
      <c r="E381" s="15" t="s">
        <v>487</v>
      </c>
      <c r="F381" s="17">
        <v>21</v>
      </c>
      <c r="G381" s="5" t="str">
        <f t="shared" si="15"/>
        <v/>
      </c>
      <c r="H381" s="9"/>
      <c r="I381" s="9">
        <v>3</v>
      </c>
      <c r="J381" s="4" t="str">
        <f t="shared" si="16"/>
        <v>YES</v>
      </c>
      <c r="K381" s="4" t="s">
        <v>315</v>
      </c>
      <c r="L381" s="6" t="s">
        <v>775</v>
      </c>
      <c r="M381" s="6" t="str">
        <f t="shared" si="17"/>
        <v>'LUK-21' =&gt; array('N'=&gt;'3', 'C'=&gt;"Jesus Preaches in the Synagogue", 'F'=&gt;'NT-Gospel-172-Jesus-Preaches-in-the-Synagogue'),</v>
      </c>
    </row>
    <row r="382" spans="1:13" x14ac:dyDescent="0.25">
      <c r="A382" s="14">
        <v>42</v>
      </c>
      <c r="B382" s="15" t="s">
        <v>353</v>
      </c>
      <c r="C382" s="16">
        <v>12</v>
      </c>
      <c r="D382" s="17">
        <f>VLOOKUP(E382,Sheet2!A:C,2,FALSE)</f>
        <v>42</v>
      </c>
      <c r="E382" s="15" t="s">
        <v>487</v>
      </c>
      <c r="F382" s="17">
        <v>21</v>
      </c>
      <c r="G382" s="5" t="str">
        <f t="shared" si="15"/>
        <v>MULT</v>
      </c>
      <c r="H382" s="9">
        <v>2</v>
      </c>
      <c r="I382" s="9"/>
      <c r="J382" s="4" t="str">
        <f t="shared" si="16"/>
        <v>YES</v>
      </c>
      <c r="K382" s="15" t="s">
        <v>354</v>
      </c>
      <c r="L382" s="18" t="s">
        <v>777</v>
      </c>
      <c r="M382" s="6" t="str">
        <f t="shared" si="17"/>
        <v>'LUK-21-2' =&gt; array('N'=&gt;'', 'C'=&gt;"Jesus Preaches to the Multitude", 'F'=&gt;'NT-Gospel-183-Jesus-Preaches-to-the-Multitude'),</v>
      </c>
    </row>
    <row r="383" spans="1:13" x14ac:dyDescent="0.25">
      <c r="A383" s="7">
        <v>41</v>
      </c>
      <c r="B383" s="4" t="s">
        <v>323</v>
      </c>
      <c r="C383" s="12">
        <v>12</v>
      </c>
      <c r="D383" s="5">
        <f>VLOOKUP(E383,Sheet2!A:C,2,FALSE)</f>
        <v>42</v>
      </c>
      <c r="E383" s="4" t="s">
        <v>487</v>
      </c>
      <c r="F383" s="5">
        <v>21</v>
      </c>
      <c r="G383" s="5" t="str">
        <f t="shared" si="15"/>
        <v>MULT</v>
      </c>
      <c r="H383" s="9">
        <v>3</v>
      </c>
      <c r="I383" s="9"/>
      <c r="J383" s="4" t="str">
        <f t="shared" si="16"/>
        <v>YES</v>
      </c>
      <c r="K383" s="4" t="s">
        <v>324</v>
      </c>
      <c r="L383" s="6" t="s">
        <v>814</v>
      </c>
      <c r="M383" s="6" t="str">
        <f t="shared" si="17"/>
        <v>'LUK-21-3' =&gt; array('N'=&gt;'', 'C'=&gt;"The Widow's Mite", 'F'=&gt;'NT-Gospel-201-The-Widows-Mite'),</v>
      </c>
    </row>
    <row r="384" spans="1:13" x14ac:dyDescent="0.25">
      <c r="A384" s="7">
        <v>41</v>
      </c>
      <c r="B384" s="4" t="s">
        <v>314</v>
      </c>
      <c r="C384" s="12">
        <v>1.2</v>
      </c>
      <c r="D384" s="17">
        <f>VLOOKUP(E384,Sheet2!A:C,2,FALSE)</f>
        <v>42</v>
      </c>
      <c r="E384" s="15" t="s">
        <v>487</v>
      </c>
      <c r="F384" s="17">
        <v>22</v>
      </c>
      <c r="G384" s="5" t="str">
        <f t="shared" si="15"/>
        <v/>
      </c>
      <c r="H384" s="9"/>
      <c r="I384" s="9">
        <v>9</v>
      </c>
      <c r="J384" s="4" t="str">
        <f t="shared" si="16"/>
        <v>YES</v>
      </c>
      <c r="K384" s="4" t="s">
        <v>315</v>
      </c>
      <c r="L384" s="6" t="s">
        <v>775</v>
      </c>
      <c r="M384" s="6" t="str">
        <f t="shared" si="17"/>
        <v>'LUK-22' =&gt; array('N'=&gt;'9', 'C'=&gt;"Jesus Preaches in the Synagogue", 'F'=&gt;'NT-Gospel-172-Jesus-Preaches-in-the-Synagogue'),</v>
      </c>
    </row>
    <row r="385" spans="1:13" x14ac:dyDescent="0.25">
      <c r="A385" s="14">
        <v>42</v>
      </c>
      <c r="B385" s="15" t="s">
        <v>353</v>
      </c>
      <c r="C385" s="16">
        <v>12</v>
      </c>
      <c r="D385" s="17">
        <f>VLOOKUP(E385,Sheet2!A:C,2,FALSE)</f>
        <v>42</v>
      </c>
      <c r="E385" s="15" t="s">
        <v>487</v>
      </c>
      <c r="F385" s="17">
        <v>22</v>
      </c>
      <c r="G385" s="5" t="str">
        <f t="shared" si="15"/>
        <v>MULT</v>
      </c>
      <c r="H385" s="9">
        <v>2</v>
      </c>
      <c r="I385" s="9"/>
      <c r="J385" s="4" t="str">
        <f t="shared" si="16"/>
        <v>YES</v>
      </c>
      <c r="K385" s="15" t="s">
        <v>354</v>
      </c>
      <c r="L385" s="18" t="s">
        <v>777</v>
      </c>
      <c r="M385" s="6" t="str">
        <f t="shared" si="17"/>
        <v>'LUK-22-2' =&gt; array('N'=&gt;'', 'C'=&gt;"Jesus Preaches to the Multitude", 'F'=&gt;'NT-Gospel-183-Jesus-Preaches-to-the-Multitude'),</v>
      </c>
    </row>
    <row r="386" spans="1:13" x14ac:dyDescent="0.25">
      <c r="A386" s="7">
        <v>43</v>
      </c>
      <c r="B386" s="4" t="s">
        <v>388</v>
      </c>
      <c r="C386" s="12">
        <v>13</v>
      </c>
      <c r="D386" s="5">
        <f>VLOOKUP(E386,Sheet2!A:C,2,FALSE)</f>
        <v>42</v>
      </c>
      <c r="E386" s="4" t="s">
        <v>487</v>
      </c>
      <c r="F386" s="5">
        <v>22</v>
      </c>
      <c r="G386" s="5" t="str">
        <f t="shared" si="15"/>
        <v>MULT</v>
      </c>
      <c r="H386" s="9">
        <v>3</v>
      </c>
      <c r="I386" s="9"/>
      <c r="J386" s="4" t="str">
        <f t="shared" si="16"/>
        <v>YES</v>
      </c>
      <c r="K386" s="4" t="s">
        <v>389</v>
      </c>
      <c r="L386" s="6" t="s">
        <v>793</v>
      </c>
      <c r="M386" s="6" t="str">
        <f t="shared" si="17"/>
        <v>'LUK-22-3' =&gt; array('N'=&gt;'', 'C'=&gt;"The Last Supper", 'F'=&gt;'NT-Gospel-202-The-Last-Supper'),</v>
      </c>
    </row>
    <row r="387" spans="1:13" x14ac:dyDescent="0.25">
      <c r="A387" s="7">
        <v>40</v>
      </c>
      <c r="B387" s="4" t="s">
        <v>304</v>
      </c>
      <c r="C387" s="12">
        <v>26</v>
      </c>
      <c r="D387" s="5">
        <f>VLOOKUP(E387,Sheet2!A:C,2,FALSE)</f>
        <v>42</v>
      </c>
      <c r="E387" s="4" t="s">
        <v>487</v>
      </c>
      <c r="F387" s="5">
        <v>22</v>
      </c>
      <c r="G387" s="5" t="str">
        <f t="shared" ref="G387:G450" si="18">IF(E387&lt;&gt;E386,"",IF(F387&lt;&gt;F386,"","MULT"))</f>
        <v>MULT</v>
      </c>
      <c r="H387" s="9">
        <v>4</v>
      </c>
      <c r="I387" s="9"/>
      <c r="J387" s="4" t="str">
        <f t="shared" ref="J387:J450" si="19">IF(A387&lt;&gt;D387,"YES",IF(INT(C387)&lt;&gt;F387,"YES",""))</f>
        <v>YES</v>
      </c>
      <c r="K387" s="4" t="s">
        <v>305</v>
      </c>
      <c r="L387" s="6" t="s">
        <v>794</v>
      </c>
      <c r="M387" s="6" t="str">
        <f t="shared" ref="M387:M450" si="20">"'"&amp;E387&amp;"-"&amp;F387&amp;IF(H387="","","-")&amp;H387&amp;"' =&gt; array('N'=&gt;'"&amp;I387&amp;"', 'C'=&gt;"""&amp;K387&amp;""", 'F'=&gt;'"&amp;L387&amp;"'),"</f>
        <v>'LUK-22-4' =&gt; array('N'=&gt;'', 'C'=&gt;"Jesus Prays in the Garden", 'F'=&gt;'NT-Gospel-203-Jesus-Prays-in-the-Garden'),</v>
      </c>
    </row>
    <row r="388" spans="1:13" x14ac:dyDescent="0.25">
      <c r="A388" s="14">
        <v>42</v>
      </c>
      <c r="B388" s="15" t="s">
        <v>365</v>
      </c>
      <c r="C388" s="16">
        <v>22</v>
      </c>
      <c r="D388" s="17">
        <f>VLOOKUP(E388,Sheet2!A:C,2,FALSE)</f>
        <v>42</v>
      </c>
      <c r="E388" s="15" t="s">
        <v>487</v>
      </c>
      <c r="F388" s="17">
        <v>22</v>
      </c>
      <c r="G388" s="5" t="str">
        <f t="shared" si="18"/>
        <v>MULT</v>
      </c>
      <c r="H388" s="9">
        <v>5</v>
      </c>
      <c r="I388" s="9"/>
      <c r="J388" s="4" t="str">
        <f t="shared" si="19"/>
        <v/>
      </c>
      <c r="K388" s="15" t="s">
        <v>366</v>
      </c>
      <c r="L388" s="18" t="s">
        <v>795</v>
      </c>
      <c r="M388" s="6" t="str">
        <f t="shared" si="20"/>
        <v>'LUK-22-5' =&gt; array('N'=&gt;'', 'C'=&gt;"An Angel Appears to Jesus in the Garden", 'F'=&gt;'NT-Gospel-204-An-Angel-Appears-to-Jesus-in-the-Garden'),</v>
      </c>
    </row>
    <row r="389" spans="1:13" x14ac:dyDescent="0.25">
      <c r="A389" s="7">
        <v>41</v>
      </c>
      <c r="B389" s="4" t="s">
        <v>325</v>
      </c>
      <c r="C389" s="12">
        <v>14</v>
      </c>
      <c r="D389" s="5">
        <f>VLOOKUP(E389,Sheet2!A:C,2,FALSE)</f>
        <v>42</v>
      </c>
      <c r="E389" s="4" t="s">
        <v>487</v>
      </c>
      <c r="F389" s="5">
        <v>22</v>
      </c>
      <c r="G389" s="5" t="str">
        <f t="shared" si="18"/>
        <v>MULT</v>
      </c>
      <c r="H389" s="9">
        <v>6</v>
      </c>
      <c r="I389" s="9"/>
      <c r="J389" s="4" t="str">
        <f t="shared" si="19"/>
        <v>YES</v>
      </c>
      <c r="K389" s="4" t="s">
        <v>326</v>
      </c>
      <c r="L389" s="6" t="s">
        <v>796</v>
      </c>
      <c r="M389" s="6" t="str">
        <f t="shared" si="20"/>
        <v>'LUK-22-6' =&gt; array('N'=&gt;'', 'C'=&gt;"Judas Betrays Jesus", 'F'=&gt;'NT-Gospel-205-Judas-Betrays-Jesus'),</v>
      </c>
    </row>
    <row r="390" spans="1:13" x14ac:dyDescent="0.25">
      <c r="A390" s="7">
        <v>43</v>
      </c>
      <c r="B390" s="4" t="s">
        <v>390</v>
      </c>
      <c r="C390" s="12">
        <v>18</v>
      </c>
      <c r="D390" s="5">
        <f>VLOOKUP(E390,Sheet2!A:C,2,FALSE)</f>
        <v>42</v>
      </c>
      <c r="E390" s="4" t="s">
        <v>487</v>
      </c>
      <c r="F390" s="5">
        <v>22</v>
      </c>
      <c r="G390" s="5" t="str">
        <f t="shared" si="18"/>
        <v>MULT</v>
      </c>
      <c r="H390" s="9">
        <v>7</v>
      </c>
      <c r="I390" s="9"/>
      <c r="J390" s="4" t="str">
        <f t="shared" si="19"/>
        <v>YES</v>
      </c>
      <c r="K390" s="4" t="s">
        <v>391</v>
      </c>
      <c r="L390" s="6" t="s">
        <v>797</v>
      </c>
      <c r="M390" s="6" t="str">
        <f t="shared" si="20"/>
        <v>'LUK-22-7' =&gt; array('N'=&gt;'', 'C'=&gt;"Peter Denies Knowing Jesus", 'F'=&gt;'NT-Gospel-206-Peter-Denies-Knowing-Jesus'),</v>
      </c>
    </row>
    <row r="391" spans="1:13" x14ac:dyDescent="0.25">
      <c r="A391" s="7">
        <v>40</v>
      </c>
      <c r="B391" s="4" t="s">
        <v>306</v>
      </c>
      <c r="C391" s="12">
        <v>27.1</v>
      </c>
      <c r="D391" s="5">
        <f>VLOOKUP(E391,Sheet2!A:C,2,FALSE)</f>
        <v>42</v>
      </c>
      <c r="E391" s="4" t="s">
        <v>487</v>
      </c>
      <c r="F391" s="5">
        <v>22</v>
      </c>
      <c r="G391" s="5" t="str">
        <f t="shared" si="18"/>
        <v>MULT</v>
      </c>
      <c r="H391" s="9">
        <v>8</v>
      </c>
      <c r="I391" s="9"/>
      <c r="J391" s="4" t="str">
        <f t="shared" si="19"/>
        <v>YES</v>
      </c>
      <c r="K391" s="4" t="s">
        <v>448</v>
      </c>
      <c r="L391" s="6" t="s">
        <v>799</v>
      </c>
      <c r="M391" s="6" t="str">
        <f t="shared" si="20"/>
        <v>'LUK-22-8' =&gt; array('N'=&gt;'', 'C'=&gt;"Jesus is Crowned with Thorns", 'F'=&gt;'NT-Gospel-208-Jesus-is-Crowned-with-Thorns'),</v>
      </c>
    </row>
    <row r="392" spans="1:13" x14ac:dyDescent="0.25">
      <c r="A392" s="7">
        <v>40</v>
      </c>
      <c r="B392" s="4" t="s">
        <v>307</v>
      </c>
      <c r="C392" s="12">
        <v>27.2</v>
      </c>
      <c r="D392" s="5">
        <f>VLOOKUP(E392,Sheet2!A:C,2,FALSE)</f>
        <v>42</v>
      </c>
      <c r="E392" s="4" t="s">
        <v>487</v>
      </c>
      <c r="F392" s="5">
        <v>22</v>
      </c>
      <c r="G392" s="5" t="str">
        <f t="shared" si="18"/>
        <v>MULT</v>
      </c>
      <c r="H392" s="9">
        <v>9</v>
      </c>
      <c r="I392" s="9"/>
      <c r="J392" s="4" t="str">
        <f t="shared" si="19"/>
        <v>YES</v>
      </c>
      <c r="K392" s="4" t="s">
        <v>449</v>
      </c>
      <c r="L392" s="6" t="s">
        <v>800</v>
      </c>
      <c r="M392" s="6" t="str">
        <f t="shared" si="20"/>
        <v>'LUK-22-9' =&gt; array('N'=&gt;'', 'C'=&gt;"Jesus is Mocked", 'F'=&gt;'NT-Gospel-209-Jesus-is-Mocked'),</v>
      </c>
    </row>
    <row r="393" spans="1:13" x14ac:dyDescent="0.25">
      <c r="A393" s="7">
        <v>41</v>
      </c>
      <c r="B393" s="4" t="s">
        <v>327</v>
      </c>
      <c r="C393" s="12">
        <v>15.1</v>
      </c>
      <c r="D393" s="5">
        <f>VLOOKUP(E393,Sheet2!A:C,2,FALSE)</f>
        <v>42</v>
      </c>
      <c r="E393" s="4" t="s">
        <v>487</v>
      </c>
      <c r="F393" s="5">
        <v>23</v>
      </c>
      <c r="G393" s="5" t="str">
        <f t="shared" si="18"/>
        <v/>
      </c>
      <c r="H393" s="9"/>
      <c r="I393" s="9">
        <v>11</v>
      </c>
      <c r="J393" s="4" t="str">
        <f t="shared" si="19"/>
        <v>YES</v>
      </c>
      <c r="K393" s="4" t="s">
        <v>450</v>
      </c>
      <c r="L393" s="6" t="s">
        <v>798</v>
      </c>
      <c r="M393" s="6" t="str">
        <f t="shared" si="20"/>
        <v>'LUK-23' =&gt; array('N'=&gt;'11', 'C'=&gt;"Jesus is Scourged", 'F'=&gt;'NT-Gospel-207-Jesus-is-Scourged'),</v>
      </c>
    </row>
    <row r="394" spans="1:13" x14ac:dyDescent="0.25">
      <c r="A394" s="7">
        <v>43</v>
      </c>
      <c r="B394" s="4" t="s">
        <v>392</v>
      </c>
      <c r="C394" s="12">
        <v>19.100000000000001</v>
      </c>
      <c r="D394" s="5">
        <f>VLOOKUP(E394,Sheet2!A:C,2,FALSE)</f>
        <v>42</v>
      </c>
      <c r="E394" s="4" t="s">
        <v>487</v>
      </c>
      <c r="F394" s="5">
        <v>23</v>
      </c>
      <c r="G394" s="5" t="str">
        <f t="shared" si="18"/>
        <v>MULT</v>
      </c>
      <c r="H394" s="9">
        <v>2</v>
      </c>
      <c r="I394" s="9"/>
      <c r="J394" s="4" t="str">
        <f t="shared" si="19"/>
        <v>YES</v>
      </c>
      <c r="K394" s="4" t="s">
        <v>453</v>
      </c>
      <c r="L394" s="6" t="s">
        <v>801</v>
      </c>
      <c r="M394" s="6" t="str">
        <f t="shared" si="20"/>
        <v>'LUK-23-2' =&gt; array('N'=&gt;'', 'C'=&gt;"Jesus is Presented to the People", 'F'=&gt;'NT-Gospel-210-Jesus-is-Presented-to-the-People'),</v>
      </c>
    </row>
    <row r="395" spans="1:13" x14ac:dyDescent="0.25">
      <c r="A395" s="7">
        <v>41</v>
      </c>
      <c r="B395" s="4" t="s">
        <v>328</v>
      </c>
      <c r="C395" s="12">
        <v>15.2</v>
      </c>
      <c r="D395" s="5">
        <f>VLOOKUP(E395,Sheet2!A:C,2,FALSE)</f>
        <v>42</v>
      </c>
      <c r="E395" s="4" t="s">
        <v>487</v>
      </c>
      <c r="F395" s="5">
        <v>23</v>
      </c>
      <c r="G395" s="5" t="str">
        <f t="shared" si="18"/>
        <v>MULT</v>
      </c>
      <c r="H395" s="9">
        <v>3</v>
      </c>
      <c r="I395" s="9"/>
      <c r="J395" s="4" t="str">
        <f t="shared" si="19"/>
        <v>YES</v>
      </c>
      <c r="K395" s="4" t="s">
        <v>329</v>
      </c>
      <c r="L395" s="6" t="s">
        <v>802</v>
      </c>
      <c r="M395" s="6" t="str">
        <f t="shared" si="20"/>
        <v>'LUK-23-3' =&gt; array('N'=&gt;'', 'C'=&gt;"Jesus Falls Beneath the Cross", 'F'=&gt;'NT-Gospel-211-Jesus-Falls-Beneath-the-Cross'),</v>
      </c>
    </row>
    <row r="396" spans="1:13" x14ac:dyDescent="0.25">
      <c r="A396" s="7">
        <v>42</v>
      </c>
      <c r="B396" s="4" t="s">
        <v>367</v>
      </c>
      <c r="C396" s="12">
        <v>23.1</v>
      </c>
      <c r="D396" s="5">
        <f>VLOOKUP(E396,Sheet2!A:C,2,FALSE)</f>
        <v>42</v>
      </c>
      <c r="E396" s="4" t="s">
        <v>487</v>
      </c>
      <c r="F396" s="5">
        <v>23</v>
      </c>
      <c r="G396" s="5" t="str">
        <f t="shared" si="18"/>
        <v>MULT</v>
      </c>
      <c r="H396" s="9">
        <v>4</v>
      </c>
      <c r="I396" s="9"/>
      <c r="J396" s="4" t="str">
        <f t="shared" si="19"/>
        <v/>
      </c>
      <c r="K396" s="4" t="s">
        <v>368</v>
      </c>
      <c r="L396" s="6" t="s">
        <v>803</v>
      </c>
      <c r="M396" s="6" t="str">
        <f t="shared" si="20"/>
        <v>'LUK-23-4' =&gt; array('N'=&gt;'', 'C'=&gt;"Jesus Arrives at Calvary", 'F'=&gt;'NT-Gospel-212-Jesus-Arrives-at-Calvary'),</v>
      </c>
    </row>
    <row r="397" spans="1:13" x14ac:dyDescent="0.25">
      <c r="A397" s="7">
        <v>43</v>
      </c>
      <c r="B397" s="4" t="s">
        <v>393</v>
      </c>
      <c r="C397" s="12">
        <v>19.2</v>
      </c>
      <c r="D397" s="5">
        <f>VLOOKUP(E397,Sheet2!A:C,2,FALSE)</f>
        <v>42</v>
      </c>
      <c r="E397" s="4" t="s">
        <v>487</v>
      </c>
      <c r="F397" s="5">
        <v>23</v>
      </c>
      <c r="G397" s="5" t="str">
        <f t="shared" si="18"/>
        <v>MULT</v>
      </c>
      <c r="H397" s="9">
        <v>5</v>
      </c>
      <c r="I397" s="9"/>
      <c r="J397" s="4" t="str">
        <f t="shared" si="19"/>
        <v>YES</v>
      </c>
      <c r="K397" s="4" t="s">
        <v>454</v>
      </c>
      <c r="L397" s="6" t="s">
        <v>804</v>
      </c>
      <c r="M397" s="6" t="str">
        <f t="shared" si="20"/>
        <v>'LUK-23-5' =&gt; array('N'=&gt;'', 'C'=&gt;"Jesus is Nailed to the Cross", 'F'=&gt;'NT-Gospel-213-Jesus-is-Nailed-to-the-Cross'),</v>
      </c>
    </row>
    <row r="398" spans="1:13" x14ac:dyDescent="0.25">
      <c r="A398" s="7">
        <v>42</v>
      </c>
      <c r="B398" s="4" t="s">
        <v>369</v>
      </c>
      <c r="C398" s="12">
        <v>23.2</v>
      </c>
      <c r="D398" s="5">
        <f>VLOOKUP(E398,Sheet2!A:C,2,FALSE)</f>
        <v>42</v>
      </c>
      <c r="E398" s="4" t="s">
        <v>487</v>
      </c>
      <c r="F398" s="5">
        <v>23</v>
      </c>
      <c r="G398" s="5" t="str">
        <f t="shared" si="18"/>
        <v>MULT</v>
      </c>
      <c r="H398" s="9">
        <v>6</v>
      </c>
      <c r="I398" s="9"/>
      <c r="J398" s="4" t="str">
        <f t="shared" si="19"/>
        <v/>
      </c>
      <c r="K398" s="4" t="s">
        <v>452</v>
      </c>
      <c r="L398" s="6" t="s">
        <v>805</v>
      </c>
      <c r="M398" s="6" t="str">
        <f t="shared" si="20"/>
        <v>'LUK-23-6' =&gt; array('N'=&gt;'', 'C'=&gt;"The Cross is Lifted Up", 'F'=&gt;'NT-Gospel-214-The-Cross-is-Lifted-Up'),</v>
      </c>
    </row>
    <row r="399" spans="1:13" x14ac:dyDescent="0.25">
      <c r="A399" s="7">
        <v>40</v>
      </c>
      <c r="B399" s="4" t="s">
        <v>308</v>
      </c>
      <c r="C399" s="12">
        <v>27.3</v>
      </c>
      <c r="D399" s="5">
        <f>VLOOKUP(E399,Sheet2!A:C,2,FALSE)</f>
        <v>42</v>
      </c>
      <c r="E399" s="4" t="s">
        <v>487</v>
      </c>
      <c r="F399" s="5">
        <v>23</v>
      </c>
      <c r="G399" s="5" t="str">
        <f t="shared" si="18"/>
        <v>MULT</v>
      </c>
      <c r="H399" s="9">
        <v>7</v>
      </c>
      <c r="I399" s="9"/>
      <c r="J399" s="4" t="str">
        <f t="shared" si="19"/>
        <v>YES</v>
      </c>
      <c r="K399" s="4" t="s">
        <v>309</v>
      </c>
      <c r="L399" s="6" t="s">
        <v>806</v>
      </c>
      <c r="M399" s="6" t="str">
        <f t="shared" si="20"/>
        <v>'LUK-23-7' =&gt; array('N'=&gt;'', 'C'=&gt;"The Crucifixion of Jesus and Two Criminals", 'F'=&gt;'NT-Gospel-215-The-Crucifixion-of-Jesus-and-Two-Criminals'),</v>
      </c>
    </row>
    <row r="400" spans="1:13" x14ac:dyDescent="0.25">
      <c r="A400" s="7">
        <v>42</v>
      </c>
      <c r="B400" s="4" t="s">
        <v>370</v>
      </c>
      <c r="C400" s="12">
        <v>23.3</v>
      </c>
      <c r="D400" s="5">
        <f>VLOOKUP(E400,Sheet2!A:C,2,FALSE)</f>
        <v>42</v>
      </c>
      <c r="E400" s="4" t="s">
        <v>487</v>
      </c>
      <c r="F400" s="5">
        <v>23</v>
      </c>
      <c r="G400" s="5" t="str">
        <f t="shared" si="18"/>
        <v>MULT</v>
      </c>
      <c r="H400" s="9">
        <v>8</v>
      </c>
      <c r="I400" s="9"/>
      <c r="J400" s="4" t="str">
        <f t="shared" si="19"/>
        <v/>
      </c>
      <c r="K400" s="4" t="s">
        <v>371</v>
      </c>
      <c r="L400" s="6" t="s">
        <v>807</v>
      </c>
      <c r="M400" s="6" t="str">
        <f t="shared" si="20"/>
        <v>'LUK-23-8' =&gt; array('N'=&gt;'', 'C'=&gt;"Darkness at the Crucifixion", 'F'=&gt;'NT-Gospel-216-Darkness-at-the-Crucifixion'),</v>
      </c>
    </row>
    <row r="401" spans="1:13" s="18" customFormat="1" x14ac:dyDescent="0.25">
      <c r="A401" s="7">
        <v>41</v>
      </c>
      <c r="B401" s="4" t="s">
        <v>330</v>
      </c>
      <c r="C401" s="12">
        <v>15.3</v>
      </c>
      <c r="D401" s="5">
        <f>VLOOKUP(E401,Sheet2!A:C,2,FALSE)</f>
        <v>42</v>
      </c>
      <c r="E401" s="4" t="s">
        <v>487</v>
      </c>
      <c r="F401" s="5">
        <v>23</v>
      </c>
      <c r="G401" s="5" t="str">
        <f t="shared" si="18"/>
        <v>MULT</v>
      </c>
      <c r="H401" s="9">
        <v>9</v>
      </c>
      <c r="I401" s="9"/>
      <c r="J401" s="4" t="str">
        <f t="shared" si="19"/>
        <v>YES</v>
      </c>
      <c r="K401" s="4" t="s">
        <v>451</v>
      </c>
      <c r="L401" s="6" t="s">
        <v>808</v>
      </c>
      <c r="M401" s="6" t="str">
        <f t="shared" si="20"/>
        <v>'LUK-23-9' =&gt; array('N'=&gt;'', 'C'=&gt;"Jesus' Body is Removed from the Cross", 'F'=&gt;'NT-Gospel-217-Jesus-Body-is-Removed-from-the-Cross'),</v>
      </c>
    </row>
    <row r="402" spans="1:13" s="18" customFormat="1" x14ac:dyDescent="0.25">
      <c r="A402" s="7">
        <v>43</v>
      </c>
      <c r="B402" s="4" t="s">
        <v>394</v>
      </c>
      <c r="C402" s="12">
        <v>19.3</v>
      </c>
      <c r="D402" s="5">
        <f>VLOOKUP(E402,Sheet2!A:C,2,FALSE)</f>
        <v>42</v>
      </c>
      <c r="E402" s="4" t="s">
        <v>487</v>
      </c>
      <c r="F402" s="5">
        <v>23</v>
      </c>
      <c r="G402" s="5" t="str">
        <f t="shared" si="18"/>
        <v>MULT</v>
      </c>
      <c r="H402" s="9">
        <v>10</v>
      </c>
      <c r="I402" s="9"/>
      <c r="J402" s="4" t="str">
        <f t="shared" si="19"/>
        <v>YES</v>
      </c>
      <c r="K402" s="4" t="s">
        <v>395</v>
      </c>
      <c r="L402" s="6" t="s">
        <v>809</v>
      </c>
      <c r="M402" s="6" t="str">
        <f t="shared" si="20"/>
        <v>'LUK-23-10' =&gt; array('N'=&gt;'', 'C'=&gt;"Disciples Mourn over the Dead Jesus", 'F'=&gt;'NT-Gospel-218-Disciples-Mourn-over-the-Dead-Jesus'),</v>
      </c>
    </row>
    <row r="403" spans="1:13" s="18" customFormat="1" x14ac:dyDescent="0.25">
      <c r="A403" s="7">
        <v>43</v>
      </c>
      <c r="B403" s="4" t="s">
        <v>396</v>
      </c>
      <c r="C403" s="12">
        <v>19.399999999999999</v>
      </c>
      <c r="D403" s="5">
        <f>VLOOKUP(E403,Sheet2!A:C,2,FALSE)</f>
        <v>42</v>
      </c>
      <c r="E403" s="4" t="s">
        <v>487</v>
      </c>
      <c r="F403" s="5">
        <v>23</v>
      </c>
      <c r="G403" s="5" t="str">
        <f t="shared" si="18"/>
        <v>MULT</v>
      </c>
      <c r="H403" s="9">
        <v>11</v>
      </c>
      <c r="I403" s="9"/>
      <c r="J403" s="4" t="str">
        <f t="shared" si="19"/>
        <v>YES</v>
      </c>
      <c r="K403" s="4" t="s">
        <v>455</v>
      </c>
      <c r="L403" s="6" t="s">
        <v>810</v>
      </c>
      <c r="M403" s="6" t="str">
        <f t="shared" si="20"/>
        <v>'LUK-23-11' =&gt; array('N'=&gt;'', 'C'=&gt;"Jesus is Buried in the Tomb", 'F'=&gt;'NT-Gospel-219-Jesus-is-Buried-in-the-Tomb'),</v>
      </c>
    </row>
    <row r="404" spans="1:13" s="18" customFormat="1" x14ac:dyDescent="0.25">
      <c r="A404" s="7">
        <v>40</v>
      </c>
      <c r="B404" s="4" t="s">
        <v>310</v>
      </c>
      <c r="C404" s="12">
        <v>28</v>
      </c>
      <c r="D404" s="5">
        <f>VLOOKUP(E404,Sheet2!A:C,2,FALSE)</f>
        <v>42</v>
      </c>
      <c r="E404" s="4" t="s">
        <v>487</v>
      </c>
      <c r="F404" s="5">
        <v>24</v>
      </c>
      <c r="G404" s="5" t="str">
        <f t="shared" si="18"/>
        <v/>
      </c>
      <c r="H404" s="9"/>
      <c r="I404" s="9">
        <v>3</v>
      </c>
      <c r="J404" s="4" t="str">
        <f t="shared" si="19"/>
        <v>YES</v>
      </c>
      <c r="K404" s="4" t="s">
        <v>311</v>
      </c>
      <c r="L404" s="6" t="s">
        <v>811</v>
      </c>
      <c r="M404" s="6" t="str">
        <f t="shared" si="20"/>
        <v>'LUK-24' =&gt; array('N'=&gt;'3', 'C'=&gt;"The Angel and Women at the Empty Tomb", 'F'=&gt;'NT-Gospel-220-The-Angel-and-Women-at-the-Empty-Tomb'),</v>
      </c>
    </row>
    <row r="405" spans="1:13" s="18" customFormat="1" x14ac:dyDescent="0.25">
      <c r="A405" s="7">
        <v>42</v>
      </c>
      <c r="B405" s="4" t="s">
        <v>372</v>
      </c>
      <c r="C405" s="12">
        <v>24.1</v>
      </c>
      <c r="D405" s="5">
        <f>VLOOKUP(E405,Sheet2!A:C,2,FALSE)</f>
        <v>42</v>
      </c>
      <c r="E405" s="4" t="s">
        <v>487</v>
      </c>
      <c r="F405" s="5">
        <v>24</v>
      </c>
      <c r="G405" s="5" t="str">
        <f t="shared" si="18"/>
        <v>MULT</v>
      </c>
      <c r="H405" s="9">
        <v>2</v>
      </c>
      <c r="I405" s="9"/>
      <c r="J405" s="4" t="str">
        <f t="shared" si="19"/>
        <v/>
      </c>
      <c r="K405" s="4" t="s">
        <v>373</v>
      </c>
      <c r="L405" s="6" t="s">
        <v>824</v>
      </c>
      <c r="M405" s="6" t="str">
        <f t="shared" si="20"/>
        <v>'LUK-24-2' =&gt; array('N'=&gt;'', 'C'=&gt;"Jesus and Two Disciples Go to Emmaus", 'F'=&gt;'NT-Gospel-221-Jesus-and-Two-Disciples-Go-to-Emmaus'),</v>
      </c>
    </row>
    <row r="406" spans="1:13" s="18" customFormat="1" x14ac:dyDescent="0.25">
      <c r="A406" s="7">
        <v>42</v>
      </c>
      <c r="B406" s="4" t="s">
        <v>374</v>
      </c>
      <c r="C406" s="12">
        <v>24.2</v>
      </c>
      <c r="D406" s="5">
        <f>VLOOKUP(E406,Sheet2!A:C,2,FALSE)</f>
        <v>42</v>
      </c>
      <c r="E406" s="4" t="s">
        <v>487</v>
      </c>
      <c r="F406" s="5">
        <v>24</v>
      </c>
      <c r="G406" s="5" t="str">
        <f t="shared" si="18"/>
        <v>MULT</v>
      </c>
      <c r="H406" s="9">
        <v>3</v>
      </c>
      <c r="I406" s="9"/>
      <c r="J406" s="4" t="str">
        <f t="shared" si="19"/>
        <v/>
      </c>
      <c r="K406" s="4" t="s">
        <v>375</v>
      </c>
      <c r="L406" s="6" t="s">
        <v>812</v>
      </c>
      <c r="M406" s="6" t="str">
        <f t="shared" si="20"/>
        <v>'LUK-24-3' =&gt; array('N'=&gt;'', 'C'=&gt;"Jesus Ascends to Heaven", 'F'=&gt;'NT-Gospel-223-Jesus-Ascends-to-Heaven'),</v>
      </c>
    </row>
    <row r="407" spans="1:13" s="18" customFormat="1" x14ac:dyDescent="0.25">
      <c r="A407" s="7">
        <v>41</v>
      </c>
      <c r="B407" s="4" t="s">
        <v>312</v>
      </c>
      <c r="C407" s="12">
        <v>1.1000000000000001</v>
      </c>
      <c r="D407" s="5">
        <f>VLOOKUP(E407,Sheet2!A:C,2,FALSE)</f>
        <v>43</v>
      </c>
      <c r="E407" s="4" t="s">
        <v>482</v>
      </c>
      <c r="F407" s="5">
        <v>1</v>
      </c>
      <c r="G407" s="5" t="str">
        <f t="shared" si="18"/>
        <v/>
      </c>
      <c r="H407" s="9"/>
      <c r="I407" s="9">
        <v>2</v>
      </c>
      <c r="J407" s="4" t="str">
        <f t="shared" si="19"/>
        <v>YES</v>
      </c>
      <c r="K407" s="4" t="s">
        <v>313</v>
      </c>
      <c r="L407" s="6" t="s">
        <v>772</v>
      </c>
      <c r="M407" s="6" t="str">
        <f t="shared" si="20"/>
        <v>'JOH-1' =&gt; array('N'=&gt;'2', 'C'=&gt;"John the Baptist Preaches in the Wilderness", 'F'=&gt;'NT-Gospel-167-John-the-Baptist-Preaches-in-the-Wilderness'),</v>
      </c>
    </row>
    <row r="408" spans="1:13" s="18" customFormat="1" x14ac:dyDescent="0.25">
      <c r="A408" s="7">
        <v>43</v>
      </c>
      <c r="B408" s="4" t="s">
        <v>376</v>
      </c>
      <c r="C408" s="12">
        <v>1</v>
      </c>
      <c r="D408" s="5">
        <f>VLOOKUP(E408,Sheet2!A:C,2,FALSE)</f>
        <v>43</v>
      </c>
      <c r="E408" s="4" t="s">
        <v>482</v>
      </c>
      <c r="F408" s="5">
        <v>1</v>
      </c>
      <c r="G408" s="5" t="str">
        <f t="shared" si="18"/>
        <v>MULT</v>
      </c>
      <c r="H408" s="9">
        <v>2</v>
      </c>
      <c r="I408" s="9"/>
      <c r="J408" s="4" t="str">
        <f t="shared" si="19"/>
        <v/>
      </c>
      <c r="K408" s="4" t="s">
        <v>377</v>
      </c>
      <c r="L408" s="6" t="s">
        <v>773</v>
      </c>
      <c r="M408" s="6" t="str">
        <f t="shared" si="20"/>
        <v>'JOH-1-2' =&gt; array('N'=&gt;'', 'C'=&gt;"The Baptism of Jesus", 'F'=&gt;'NT-Gospel-168-The-Baptism-of-Jesus'),</v>
      </c>
    </row>
    <row r="409" spans="1:13" s="18" customFormat="1" x14ac:dyDescent="0.25">
      <c r="A409" s="7">
        <v>43</v>
      </c>
      <c r="B409" s="4" t="s">
        <v>378</v>
      </c>
      <c r="C409" s="12">
        <v>2</v>
      </c>
      <c r="D409" s="5">
        <f>VLOOKUP(E409,Sheet2!A:C,2,FALSE)</f>
        <v>43</v>
      </c>
      <c r="E409" s="4" t="s">
        <v>482</v>
      </c>
      <c r="F409" s="5">
        <v>2</v>
      </c>
      <c r="G409" s="5" t="str">
        <f t="shared" si="18"/>
        <v/>
      </c>
      <c r="H409" s="9"/>
      <c r="I409" s="9">
        <v>2</v>
      </c>
      <c r="J409" s="4" t="str">
        <f t="shared" si="19"/>
        <v/>
      </c>
      <c r="K409" s="4" t="s">
        <v>379</v>
      </c>
      <c r="L409" s="6" t="s">
        <v>825</v>
      </c>
      <c r="M409" s="6" t="str">
        <f t="shared" si="20"/>
        <v>'JOH-2' =&gt; array('N'=&gt;'2', 'C'=&gt;"The Wedding at Cana", 'F'=&gt;'NT-Gospel-170-The-Wedding-at-Cana'),</v>
      </c>
    </row>
    <row r="410" spans="1:13" s="18" customFormat="1" x14ac:dyDescent="0.25">
      <c r="A410" s="7">
        <v>42</v>
      </c>
      <c r="B410" s="4" t="s">
        <v>363</v>
      </c>
      <c r="C410" s="12">
        <v>19</v>
      </c>
      <c r="D410" s="5">
        <f>VLOOKUP(E410,Sheet2!A:C,2,FALSE)</f>
        <v>43</v>
      </c>
      <c r="E410" s="4" t="s">
        <v>482</v>
      </c>
      <c r="F410" s="5">
        <v>2</v>
      </c>
      <c r="G410" s="5" t="str">
        <f t="shared" si="18"/>
        <v>MULT</v>
      </c>
      <c r="H410" s="9">
        <v>2</v>
      </c>
      <c r="I410" s="9"/>
      <c r="J410" s="4" t="str">
        <f t="shared" si="19"/>
        <v>YES</v>
      </c>
      <c r="K410" s="4" t="s">
        <v>364</v>
      </c>
      <c r="L410" s="6" t="s">
        <v>791</v>
      </c>
      <c r="M410" s="6" t="str">
        <f t="shared" si="20"/>
        <v>'JOH-2-2' =&gt; array('N'=&gt;'', 'C'=&gt;"Buyers and Sellers Are Driven Out of the Temple", 'F'=&gt;'NT-Gospel-199-Buyers-and-Sellers-Are-Driven-Out-of-the-Temple'),</v>
      </c>
    </row>
    <row r="411" spans="1:13" s="18" customFormat="1" x14ac:dyDescent="0.25">
      <c r="A411" s="7">
        <v>4</v>
      </c>
      <c r="B411" s="4" t="s">
        <v>83</v>
      </c>
      <c r="C411" s="12">
        <v>21</v>
      </c>
      <c r="D411" s="5">
        <f>VLOOKUP(E411,Sheet2!A:C,2,FALSE)</f>
        <v>43</v>
      </c>
      <c r="E411" s="4" t="s">
        <v>482</v>
      </c>
      <c r="F411" s="5">
        <v>3</v>
      </c>
      <c r="G411" s="5" t="str">
        <f t="shared" si="18"/>
        <v/>
      </c>
      <c r="H411" s="9"/>
      <c r="I411" s="9"/>
      <c r="J411" s="4" t="str">
        <f t="shared" si="19"/>
        <v>YES</v>
      </c>
      <c r="K411" s="4" t="s">
        <v>84</v>
      </c>
      <c r="L411" s="6" t="s">
        <v>671</v>
      </c>
      <c r="M411" s="6" t="str">
        <f t="shared" si="20"/>
        <v>'JOH-3' =&gt; array('N'=&gt;'', 'C'=&gt;"The Bronze Serpent", 'F'=&gt;'Hebrew-OT-044-The-Bronze-Serpent'),</v>
      </c>
    </row>
    <row r="412" spans="1:13" s="18" customFormat="1" x14ac:dyDescent="0.25">
      <c r="A412" s="7">
        <v>43</v>
      </c>
      <c r="B412" s="4" t="s">
        <v>380</v>
      </c>
      <c r="C412" s="12">
        <v>4</v>
      </c>
      <c r="D412" s="5">
        <f>VLOOKUP(E412,Sheet2!A:C,2,FALSE)</f>
        <v>43</v>
      </c>
      <c r="E412" s="4" t="s">
        <v>482</v>
      </c>
      <c r="F412" s="5">
        <v>4</v>
      </c>
      <c r="G412" s="5" t="str">
        <f t="shared" si="18"/>
        <v/>
      </c>
      <c r="H412" s="9"/>
      <c r="I412" s="9"/>
      <c r="J412" s="4" t="str">
        <f t="shared" si="19"/>
        <v/>
      </c>
      <c r="K412" s="4" t="s">
        <v>381</v>
      </c>
      <c r="L412" s="6" t="s">
        <v>826</v>
      </c>
      <c r="M412" s="6" t="str">
        <f t="shared" si="20"/>
        <v>'JOH-4' =&gt; array('N'=&gt;'', 'C'=&gt;"Jesus and the Woman of Samaria", 'F'=&gt;'NT-Gospel-171-Jesus-and-the-Woman-of-Samaria'),</v>
      </c>
    </row>
    <row r="413" spans="1:13" s="18" customFormat="1" x14ac:dyDescent="0.25">
      <c r="A413" s="7">
        <v>41</v>
      </c>
      <c r="B413" s="4" t="s">
        <v>314</v>
      </c>
      <c r="C413" s="12">
        <v>1.2</v>
      </c>
      <c r="D413" s="17">
        <f>VLOOKUP(E413,Sheet2!A:C,2,FALSE)</f>
        <v>43</v>
      </c>
      <c r="E413" s="15" t="s">
        <v>482</v>
      </c>
      <c r="F413" s="17">
        <v>6</v>
      </c>
      <c r="G413" s="5" t="str">
        <f t="shared" si="18"/>
        <v/>
      </c>
      <c r="H413" s="9"/>
      <c r="I413" s="9">
        <v>5</v>
      </c>
      <c r="J413" s="4" t="str">
        <f t="shared" si="19"/>
        <v>YES</v>
      </c>
      <c r="K413" s="4" t="s">
        <v>315</v>
      </c>
      <c r="L413" s="6" t="s">
        <v>775</v>
      </c>
      <c r="M413" s="6" t="str">
        <f t="shared" si="20"/>
        <v>'JOH-6' =&gt; array('N'=&gt;'5', 'C'=&gt;"Jesus Preaches in the Synagogue", 'F'=&gt;'NT-Gospel-172-Jesus-Preaches-in-the-Synagogue'),</v>
      </c>
    </row>
    <row r="414" spans="1:13" s="18" customFormat="1" x14ac:dyDescent="0.25">
      <c r="A414" s="14">
        <v>42</v>
      </c>
      <c r="B414" s="15" t="s">
        <v>353</v>
      </c>
      <c r="C414" s="16">
        <v>12</v>
      </c>
      <c r="D414" s="17">
        <f>VLOOKUP(E414,Sheet2!A:C,2,FALSE)</f>
        <v>43</v>
      </c>
      <c r="E414" s="15" t="s">
        <v>482</v>
      </c>
      <c r="F414" s="17">
        <v>6</v>
      </c>
      <c r="G414" s="5" t="str">
        <f t="shared" si="18"/>
        <v>MULT</v>
      </c>
      <c r="H414" s="9">
        <v>2</v>
      </c>
      <c r="I414" s="9"/>
      <c r="J414" s="4" t="str">
        <f t="shared" si="19"/>
        <v>YES</v>
      </c>
      <c r="K414" s="15" t="s">
        <v>354</v>
      </c>
      <c r="L414" s="18" t="s">
        <v>777</v>
      </c>
      <c r="M414" s="6" t="str">
        <f t="shared" si="20"/>
        <v>'JOH-6-2' =&gt; array('N'=&gt;'', 'C'=&gt;"Jesus Preaches to the Multitude", 'F'=&gt;'NT-Gospel-183-Jesus-Preaches-to-the-Multitude'),</v>
      </c>
    </row>
    <row r="415" spans="1:13" s="18" customFormat="1" x14ac:dyDescent="0.25">
      <c r="A415" s="7">
        <v>40</v>
      </c>
      <c r="B415" s="4" t="s">
        <v>294</v>
      </c>
      <c r="C415" s="12">
        <v>14.2</v>
      </c>
      <c r="D415" s="5">
        <f>VLOOKUP(E415,Sheet2!A:C,2,FALSE)</f>
        <v>43</v>
      </c>
      <c r="E415" s="4" t="s">
        <v>482</v>
      </c>
      <c r="F415" s="5">
        <v>6</v>
      </c>
      <c r="G415" s="5" t="str">
        <f t="shared" si="18"/>
        <v>MULT</v>
      </c>
      <c r="H415" s="9">
        <v>3</v>
      </c>
      <c r="I415" s="9"/>
      <c r="J415" s="4" t="str">
        <f t="shared" si="19"/>
        <v>YES</v>
      </c>
      <c r="K415" s="4" t="s">
        <v>295</v>
      </c>
      <c r="L415" s="6" t="s">
        <v>785</v>
      </c>
      <c r="M415" s="6" t="str">
        <f t="shared" si="20"/>
        <v>'JOH-6-3' =&gt; array('N'=&gt;'', 'C'=&gt;"Jesus Feeds the Multitudes", 'F'=&gt;'NT-Gospel-184-Jesus-Feeds-the-Multitudes'),</v>
      </c>
    </row>
    <row r="416" spans="1:13" s="18" customFormat="1" x14ac:dyDescent="0.25">
      <c r="A416" s="7">
        <v>43</v>
      </c>
      <c r="B416" s="4" t="s">
        <v>382</v>
      </c>
      <c r="C416" s="12">
        <v>6</v>
      </c>
      <c r="D416" s="5">
        <f>VLOOKUP(E416,Sheet2!A:C,2,FALSE)</f>
        <v>43</v>
      </c>
      <c r="E416" s="4" t="s">
        <v>482</v>
      </c>
      <c r="F416" s="5">
        <v>6</v>
      </c>
      <c r="G416" s="5" t="str">
        <f t="shared" si="18"/>
        <v>MULT</v>
      </c>
      <c r="H416" s="9">
        <v>4</v>
      </c>
      <c r="I416" s="9"/>
      <c r="J416" s="4" t="str">
        <f t="shared" si="19"/>
        <v/>
      </c>
      <c r="K416" s="4" t="s">
        <v>383</v>
      </c>
      <c r="L416" s="6" t="s">
        <v>786</v>
      </c>
      <c r="M416" s="6" t="str">
        <f t="shared" si="20"/>
        <v>'JOH-6-4' =&gt; array('N'=&gt;'', 'C'=&gt;"Jesus Walks on the Sea", 'F'=&gt;'NT-Gospel-185-Jesus-Walks-on-the-Sea'),</v>
      </c>
    </row>
    <row r="417" spans="1:13" s="18" customFormat="1" x14ac:dyDescent="0.25">
      <c r="A417" s="7">
        <v>40</v>
      </c>
      <c r="B417" s="4" t="s">
        <v>296</v>
      </c>
      <c r="C417" s="12">
        <v>15</v>
      </c>
      <c r="D417" s="5">
        <f>VLOOKUP(E417,Sheet2!A:C,2,FALSE)</f>
        <v>43</v>
      </c>
      <c r="E417" s="4" t="s">
        <v>482</v>
      </c>
      <c r="F417" s="5">
        <v>6</v>
      </c>
      <c r="G417" s="5" t="str">
        <f t="shared" si="18"/>
        <v>MULT</v>
      </c>
      <c r="H417" s="9">
        <v>5</v>
      </c>
      <c r="I417" s="9"/>
      <c r="J417" s="4" t="str">
        <f t="shared" si="19"/>
        <v>YES</v>
      </c>
      <c r="K417" s="4" t="s">
        <v>297</v>
      </c>
      <c r="L417" s="6" t="s">
        <v>778</v>
      </c>
      <c r="M417" s="6" t="str">
        <f t="shared" si="20"/>
        <v>'JOH-6-5' =&gt; array('N'=&gt;'', 'C'=&gt;"Jesus Heals the Sick", 'F'=&gt;'NT-Gospel-186-Jesus-Heals-the-Sick'),</v>
      </c>
    </row>
    <row r="418" spans="1:13" s="18" customFormat="1" x14ac:dyDescent="0.25">
      <c r="A418" s="7">
        <v>41</v>
      </c>
      <c r="B418" s="4" t="s">
        <v>314</v>
      </c>
      <c r="C418" s="12">
        <v>1.2</v>
      </c>
      <c r="D418" s="17">
        <f>VLOOKUP(E418,Sheet2!A:C,2,FALSE)</f>
        <v>43</v>
      </c>
      <c r="E418" s="15" t="s">
        <v>482</v>
      </c>
      <c r="F418" s="17">
        <v>7</v>
      </c>
      <c r="G418" s="5" t="str">
        <f t="shared" si="18"/>
        <v/>
      </c>
      <c r="H418" s="9"/>
      <c r="I418" s="9">
        <v>2</v>
      </c>
      <c r="J418" s="4" t="str">
        <f t="shared" si="19"/>
        <v>YES</v>
      </c>
      <c r="K418" s="4" t="s">
        <v>315</v>
      </c>
      <c r="L418" s="6" t="s">
        <v>775</v>
      </c>
      <c r="M418" s="6" t="str">
        <f t="shared" si="20"/>
        <v>'JOH-7' =&gt; array('N'=&gt;'2', 'C'=&gt;"Jesus Preaches in the Synagogue", 'F'=&gt;'NT-Gospel-172-Jesus-Preaches-in-the-Synagogue'),</v>
      </c>
    </row>
    <row r="419" spans="1:13" s="18" customFormat="1" x14ac:dyDescent="0.25">
      <c r="A419" s="14">
        <v>42</v>
      </c>
      <c r="B419" s="15" t="s">
        <v>353</v>
      </c>
      <c r="C419" s="16">
        <v>12</v>
      </c>
      <c r="D419" s="17">
        <f>VLOOKUP(E419,Sheet2!A:C,2,FALSE)</f>
        <v>43</v>
      </c>
      <c r="E419" s="15" t="s">
        <v>482</v>
      </c>
      <c r="F419" s="17">
        <v>7</v>
      </c>
      <c r="G419" s="5" t="str">
        <f t="shared" si="18"/>
        <v>MULT</v>
      </c>
      <c r="H419" s="9">
        <v>2</v>
      </c>
      <c r="I419" s="9"/>
      <c r="J419" s="4" t="str">
        <f t="shared" si="19"/>
        <v>YES</v>
      </c>
      <c r="K419" s="15" t="s">
        <v>354</v>
      </c>
      <c r="L419" s="18" t="s">
        <v>777</v>
      </c>
      <c r="M419" s="6" t="str">
        <f t="shared" si="20"/>
        <v>'JOH-7-2' =&gt; array('N'=&gt;'', 'C'=&gt;"Jesus Preaches to the Multitude", 'F'=&gt;'NT-Gospel-183-Jesus-Preaches-to-the-Multitude'),</v>
      </c>
    </row>
    <row r="420" spans="1:13" s="18" customFormat="1" x14ac:dyDescent="0.25">
      <c r="A420" s="7">
        <v>41</v>
      </c>
      <c r="B420" s="4" t="s">
        <v>314</v>
      </c>
      <c r="C420" s="12">
        <v>1.2</v>
      </c>
      <c r="D420" s="17">
        <f>VLOOKUP(E420,Sheet2!A:C,2,FALSE)</f>
        <v>43</v>
      </c>
      <c r="E420" s="15" t="s">
        <v>482</v>
      </c>
      <c r="F420" s="17">
        <v>8</v>
      </c>
      <c r="G420" s="5" t="str">
        <f t="shared" si="18"/>
        <v/>
      </c>
      <c r="H420" s="9"/>
      <c r="I420" s="9">
        <v>3</v>
      </c>
      <c r="J420" s="4" t="str">
        <f t="shared" si="19"/>
        <v>YES</v>
      </c>
      <c r="K420" s="4" t="s">
        <v>315</v>
      </c>
      <c r="L420" s="6" t="s">
        <v>775</v>
      </c>
      <c r="M420" s="6" t="str">
        <f t="shared" si="20"/>
        <v>'JOH-8' =&gt; array('N'=&gt;'3', 'C'=&gt;"Jesus Preaches in the Synagogue", 'F'=&gt;'NT-Gospel-172-Jesus-Preaches-in-the-Synagogue'),</v>
      </c>
    </row>
    <row r="421" spans="1:13" s="18" customFormat="1" x14ac:dyDescent="0.25">
      <c r="A421" s="14">
        <v>42</v>
      </c>
      <c r="B421" s="15" t="s">
        <v>353</v>
      </c>
      <c r="C421" s="16">
        <v>12</v>
      </c>
      <c r="D421" s="17">
        <f>VLOOKUP(E421,Sheet2!A:C,2,FALSE)</f>
        <v>43</v>
      </c>
      <c r="E421" s="15" t="s">
        <v>482</v>
      </c>
      <c r="F421" s="17">
        <v>8</v>
      </c>
      <c r="G421" s="5" t="str">
        <f t="shared" si="18"/>
        <v>MULT</v>
      </c>
      <c r="H421" s="9">
        <v>2</v>
      </c>
      <c r="I421" s="9"/>
      <c r="J421" s="4" t="str">
        <f t="shared" si="19"/>
        <v>YES</v>
      </c>
      <c r="K421" s="15" t="s">
        <v>354</v>
      </c>
      <c r="L421" s="18" t="s">
        <v>777</v>
      </c>
      <c r="M421" s="6" t="str">
        <f t="shared" si="20"/>
        <v>'JOH-8-2' =&gt; array('N'=&gt;'', 'C'=&gt;"Jesus Preaches to the Multitude", 'F'=&gt;'NT-Gospel-183-Jesus-Preaches-to-the-Multitude'),</v>
      </c>
    </row>
    <row r="422" spans="1:13" s="18" customFormat="1" x14ac:dyDescent="0.25">
      <c r="A422" s="7">
        <v>43</v>
      </c>
      <c r="B422" s="4" t="s">
        <v>384</v>
      </c>
      <c r="C422" s="12">
        <v>8</v>
      </c>
      <c r="D422" s="5">
        <f>VLOOKUP(E422,Sheet2!A:C,2,FALSE)</f>
        <v>43</v>
      </c>
      <c r="E422" s="4" t="s">
        <v>482</v>
      </c>
      <c r="F422" s="5">
        <v>8</v>
      </c>
      <c r="G422" s="5" t="str">
        <f t="shared" si="18"/>
        <v>MULT</v>
      </c>
      <c r="H422" s="9">
        <v>3</v>
      </c>
      <c r="I422" s="9"/>
      <c r="J422" s="4" t="str">
        <f t="shared" si="19"/>
        <v/>
      </c>
      <c r="K422" s="4" t="s">
        <v>385</v>
      </c>
      <c r="L422" s="6" t="s">
        <v>827</v>
      </c>
      <c r="M422" s="6" t="str">
        <f t="shared" si="20"/>
        <v>'JOH-8-3' =&gt; array('N'=&gt;'', 'C'=&gt;"Jesus and the Woman Taken in Adultery", 'F'=&gt;'NT-Gospel-189-Jesus-and-the-Woman-Taken-in-Adultery'),</v>
      </c>
    </row>
    <row r="423" spans="1:13" s="18" customFormat="1" x14ac:dyDescent="0.25">
      <c r="A423" s="7">
        <v>42</v>
      </c>
      <c r="B423" s="4" t="s">
        <v>351</v>
      </c>
      <c r="C423" s="12">
        <v>10.3</v>
      </c>
      <c r="D423" s="5">
        <f>VLOOKUP(E423,Sheet2!A:C,2,FALSE)</f>
        <v>43</v>
      </c>
      <c r="E423" s="4" t="s">
        <v>482</v>
      </c>
      <c r="F423" s="5">
        <v>11</v>
      </c>
      <c r="G423" s="5" t="str">
        <f t="shared" si="18"/>
        <v/>
      </c>
      <c r="H423" s="9"/>
      <c r="I423" s="9">
        <v>2</v>
      </c>
      <c r="J423" s="4" t="str">
        <f t="shared" si="19"/>
        <v>YES</v>
      </c>
      <c r="K423" s="4" t="s">
        <v>352</v>
      </c>
      <c r="L423" s="6" t="s">
        <v>817</v>
      </c>
      <c r="M423" s="6" t="str">
        <f t="shared" si="20"/>
        <v>'JOH-11' =&gt; array('N'=&gt;'2', 'C'=&gt;"Jesus at the House of Martha and Mary", 'F'=&gt;'NT-Gospel-181-Jesus-at-the-House-of-Martha-and-Mary'),</v>
      </c>
    </row>
    <row r="424" spans="1:13" s="18" customFormat="1" x14ac:dyDescent="0.25">
      <c r="A424" s="7">
        <v>43</v>
      </c>
      <c r="B424" s="4" t="s">
        <v>386</v>
      </c>
      <c r="C424" s="12">
        <v>11</v>
      </c>
      <c r="D424" s="5">
        <f>VLOOKUP(E424,Sheet2!A:C,2,FALSE)</f>
        <v>43</v>
      </c>
      <c r="E424" s="4" t="s">
        <v>482</v>
      </c>
      <c r="F424" s="5">
        <v>11</v>
      </c>
      <c r="G424" s="5" t="str">
        <f t="shared" si="18"/>
        <v>MULT</v>
      </c>
      <c r="H424" s="9">
        <v>2</v>
      </c>
      <c r="I424" s="9"/>
      <c r="J424" s="4" t="str">
        <f t="shared" si="19"/>
        <v/>
      </c>
      <c r="K424" s="4" t="s">
        <v>387</v>
      </c>
      <c r="L424" s="6" t="s">
        <v>828</v>
      </c>
      <c r="M424" s="6" t="str">
        <f t="shared" si="20"/>
        <v>'JOH-11-2' =&gt; array('N'=&gt;'', 'C'=&gt;"The Raising of Lazarus", 'F'=&gt;'NT-Gospel-197-The-Raising-of-Lazarus'),</v>
      </c>
    </row>
    <row r="425" spans="1:13" s="18" customFormat="1" x14ac:dyDescent="0.25">
      <c r="A425" s="7">
        <v>23</v>
      </c>
      <c r="B425" s="4" t="s">
        <v>246</v>
      </c>
      <c r="C425" s="12">
        <v>6</v>
      </c>
      <c r="D425" s="5">
        <f>VLOOKUP(E425,Sheet2!A:C,2,FALSE)</f>
        <v>43</v>
      </c>
      <c r="E425" s="4" t="s">
        <v>482</v>
      </c>
      <c r="F425" s="5">
        <v>12</v>
      </c>
      <c r="G425" s="5" t="str">
        <f t="shared" si="18"/>
        <v/>
      </c>
      <c r="H425" s="9"/>
      <c r="I425" s="9">
        <v>3</v>
      </c>
      <c r="J425" s="4" t="str">
        <f t="shared" si="19"/>
        <v>YES</v>
      </c>
      <c r="K425" s="4" t="s">
        <v>247</v>
      </c>
      <c r="L425" s="6" t="s">
        <v>749</v>
      </c>
      <c r="M425" s="6" t="str">
        <f t="shared" si="20"/>
        <v>'JOH-12' =&gt; array('N'=&gt;'3', 'C'=&gt;"The Prophet Isaiah", 'F'=&gt;'Hebrew-OT-110-The-Prophet-Isaiah'),</v>
      </c>
    </row>
    <row r="426" spans="1:13" s="18" customFormat="1" x14ac:dyDescent="0.25">
      <c r="A426" s="7">
        <v>42</v>
      </c>
      <c r="B426" s="4" t="s">
        <v>351</v>
      </c>
      <c r="C426" s="12">
        <v>10.3</v>
      </c>
      <c r="D426" s="5">
        <f>VLOOKUP(E426,Sheet2!A:C,2,FALSE)</f>
        <v>43</v>
      </c>
      <c r="E426" s="4" t="s">
        <v>482</v>
      </c>
      <c r="F426" s="5">
        <v>12</v>
      </c>
      <c r="G426" s="5" t="str">
        <f t="shared" si="18"/>
        <v>MULT</v>
      </c>
      <c r="H426" s="9">
        <v>2</v>
      </c>
      <c r="I426" s="9"/>
      <c r="J426" s="4" t="str">
        <f t="shared" si="19"/>
        <v>YES</v>
      </c>
      <c r="K426" s="4" t="s">
        <v>352</v>
      </c>
      <c r="L426" s="6" t="s">
        <v>817</v>
      </c>
      <c r="M426" s="6" t="str">
        <f t="shared" si="20"/>
        <v>'JOH-12-2' =&gt; array('N'=&gt;'', 'C'=&gt;"Jesus at the House of Martha and Mary", 'F'=&gt;'NT-Gospel-181-Jesus-at-the-House-of-Martha-and-Mary'),</v>
      </c>
    </row>
    <row r="427" spans="1:13" s="18" customFormat="1" x14ac:dyDescent="0.25">
      <c r="A427" s="7">
        <v>40</v>
      </c>
      <c r="B427" s="4" t="s">
        <v>300</v>
      </c>
      <c r="C427" s="12">
        <v>21</v>
      </c>
      <c r="D427" s="5">
        <f>VLOOKUP(E427,Sheet2!A:C,2,FALSE)</f>
        <v>43</v>
      </c>
      <c r="E427" s="4" t="s">
        <v>482</v>
      </c>
      <c r="F427" s="5">
        <v>12</v>
      </c>
      <c r="G427" s="5" t="str">
        <f t="shared" si="18"/>
        <v>MULT</v>
      </c>
      <c r="H427" s="9">
        <v>3</v>
      </c>
      <c r="I427" s="9"/>
      <c r="J427" s="4" t="str">
        <f t="shared" si="19"/>
        <v>YES</v>
      </c>
      <c r="K427" s="4" t="s">
        <v>301</v>
      </c>
      <c r="L427" s="6" t="s">
        <v>790</v>
      </c>
      <c r="M427" s="6" t="str">
        <f t="shared" si="20"/>
        <v>'JOH-12-3' =&gt; array('N'=&gt;'', 'C'=&gt;"Jesus Enters into Jerusalem", 'F'=&gt;'NT-Gospel-198-Jesus-Enters-into-Jerusalem'),</v>
      </c>
    </row>
    <row r="428" spans="1:13" s="18" customFormat="1" x14ac:dyDescent="0.25">
      <c r="A428" s="7">
        <v>43</v>
      </c>
      <c r="B428" s="4" t="s">
        <v>388</v>
      </c>
      <c r="C428" s="12">
        <v>13</v>
      </c>
      <c r="D428" s="5">
        <f>VLOOKUP(E428,Sheet2!A:C,2,FALSE)</f>
        <v>43</v>
      </c>
      <c r="E428" s="4" t="s">
        <v>482</v>
      </c>
      <c r="F428" s="5">
        <v>13</v>
      </c>
      <c r="G428" s="5" t="str">
        <f t="shared" si="18"/>
        <v/>
      </c>
      <c r="H428" s="9"/>
      <c r="I428" s="9"/>
      <c r="J428" s="4" t="str">
        <f t="shared" si="19"/>
        <v/>
      </c>
      <c r="K428" s="4" t="s">
        <v>389</v>
      </c>
      <c r="L428" s="6" t="s">
        <v>793</v>
      </c>
      <c r="M428" s="6" t="str">
        <f t="shared" si="20"/>
        <v>'JOH-13' =&gt; array('N'=&gt;'', 'C'=&gt;"The Last Supper", 'F'=&gt;'NT-Gospel-202-The-Last-Supper'),</v>
      </c>
    </row>
    <row r="429" spans="1:13" s="18" customFormat="1" x14ac:dyDescent="0.25">
      <c r="A429" s="7">
        <v>41</v>
      </c>
      <c r="B429" s="4" t="s">
        <v>314</v>
      </c>
      <c r="C429" s="12">
        <v>1.2</v>
      </c>
      <c r="D429" s="17">
        <f>VLOOKUP(E429,Sheet2!A:C,2,FALSE)</f>
        <v>43</v>
      </c>
      <c r="E429" s="15" t="s">
        <v>482</v>
      </c>
      <c r="F429" s="17">
        <v>14</v>
      </c>
      <c r="G429" s="5" t="str">
        <f t="shared" si="18"/>
        <v/>
      </c>
      <c r="H429" s="9"/>
      <c r="I429" s="9">
        <v>2</v>
      </c>
      <c r="J429" s="4" t="str">
        <f t="shared" si="19"/>
        <v>YES</v>
      </c>
      <c r="K429" s="4" t="s">
        <v>315</v>
      </c>
      <c r="L429" s="6" t="s">
        <v>775</v>
      </c>
      <c r="M429" s="6" t="str">
        <f t="shared" si="20"/>
        <v>'JOH-14' =&gt; array('N'=&gt;'2', 'C'=&gt;"Jesus Preaches in the Synagogue", 'F'=&gt;'NT-Gospel-172-Jesus-Preaches-in-the-Synagogue'),</v>
      </c>
    </row>
    <row r="430" spans="1:13" s="18" customFormat="1" x14ac:dyDescent="0.25">
      <c r="A430" s="14">
        <v>42</v>
      </c>
      <c r="B430" s="15" t="s">
        <v>353</v>
      </c>
      <c r="C430" s="16">
        <v>12</v>
      </c>
      <c r="D430" s="17">
        <f>VLOOKUP(E430,Sheet2!A:C,2,FALSE)</f>
        <v>43</v>
      </c>
      <c r="E430" s="15" t="s">
        <v>482</v>
      </c>
      <c r="F430" s="17">
        <v>14</v>
      </c>
      <c r="G430" s="5" t="str">
        <f t="shared" si="18"/>
        <v>MULT</v>
      </c>
      <c r="H430" s="9">
        <v>2</v>
      </c>
      <c r="I430" s="9"/>
      <c r="J430" s="4" t="str">
        <f t="shared" si="19"/>
        <v>YES</v>
      </c>
      <c r="K430" s="15" t="s">
        <v>354</v>
      </c>
      <c r="L430" s="18" t="s">
        <v>777</v>
      </c>
      <c r="M430" s="6" t="str">
        <f t="shared" si="20"/>
        <v>'JOH-14-2' =&gt; array('N'=&gt;'', 'C'=&gt;"Jesus Preaches to the Multitude", 'F'=&gt;'NT-Gospel-183-Jesus-Preaches-to-the-Multitude'),</v>
      </c>
    </row>
    <row r="431" spans="1:13" s="18" customFormat="1" x14ac:dyDescent="0.25">
      <c r="A431" s="7">
        <v>40</v>
      </c>
      <c r="B431" s="4" t="s">
        <v>304</v>
      </c>
      <c r="C431" s="12">
        <v>26</v>
      </c>
      <c r="D431" s="5">
        <f>VLOOKUP(E431,Sheet2!A:C,2,FALSE)</f>
        <v>43</v>
      </c>
      <c r="E431" s="4" t="s">
        <v>482</v>
      </c>
      <c r="F431" s="5">
        <v>18</v>
      </c>
      <c r="G431" s="5" t="str">
        <f t="shared" si="18"/>
        <v/>
      </c>
      <c r="H431" s="9"/>
      <c r="I431" s="9">
        <v>4</v>
      </c>
      <c r="J431" s="4" t="str">
        <f t="shared" si="19"/>
        <v>YES</v>
      </c>
      <c r="K431" s="4" t="s">
        <v>305</v>
      </c>
      <c r="L431" s="6" t="s">
        <v>794</v>
      </c>
      <c r="M431" s="6" t="str">
        <f t="shared" si="20"/>
        <v>'JOH-18' =&gt; array('N'=&gt;'4', 'C'=&gt;"Jesus Prays in the Garden", 'F'=&gt;'NT-Gospel-203-Jesus-Prays-in-the-Garden'),</v>
      </c>
    </row>
    <row r="432" spans="1:13" s="18" customFormat="1" x14ac:dyDescent="0.25">
      <c r="A432" s="14">
        <v>42</v>
      </c>
      <c r="B432" s="15" t="s">
        <v>365</v>
      </c>
      <c r="C432" s="16">
        <v>22</v>
      </c>
      <c r="D432" s="17">
        <f>VLOOKUP(E432,Sheet2!A:C,2,FALSE)</f>
        <v>43</v>
      </c>
      <c r="E432" s="15" t="s">
        <v>482</v>
      </c>
      <c r="F432" s="17">
        <v>18</v>
      </c>
      <c r="G432" s="5" t="str">
        <f t="shared" si="18"/>
        <v>MULT</v>
      </c>
      <c r="H432" s="9">
        <v>2</v>
      </c>
      <c r="I432" s="9"/>
      <c r="J432" s="4" t="str">
        <f t="shared" si="19"/>
        <v>YES</v>
      </c>
      <c r="K432" s="15" t="s">
        <v>366</v>
      </c>
      <c r="L432" s="18" t="s">
        <v>795</v>
      </c>
      <c r="M432" s="6" t="str">
        <f t="shared" si="20"/>
        <v>'JOH-18-2' =&gt; array('N'=&gt;'', 'C'=&gt;"An Angel Appears to Jesus in the Garden", 'F'=&gt;'NT-Gospel-204-An-Angel-Appears-to-Jesus-in-the-Garden'),</v>
      </c>
    </row>
    <row r="433" spans="1:13" x14ac:dyDescent="0.25">
      <c r="A433" s="7">
        <v>41</v>
      </c>
      <c r="B433" s="4" t="s">
        <v>325</v>
      </c>
      <c r="C433" s="12">
        <v>14</v>
      </c>
      <c r="D433" s="5">
        <f>VLOOKUP(E433,Sheet2!A:C,2,FALSE)</f>
        <v>43</v>
      </c>
      <c r="E433" s="4" t="s">
        <v>482</v>
      </c>
      <c r="F433" s="5">
        <v>18</v>
      </c>
      <c r="G433" s="5" t="str">
        <f t="shared" si="18"/>
        <v>MULT</v>
      </c>
      <c r="H433" s="9">
        <v>3</v>
      </c>
      <c r="I433" s="9"/>
      <c r="J433" s="4" t="str">
        <f t="shared" si="19"/>
        <v>YES</v>
      </c>
      <c r="K433" s="4" t="s">
        <v>326</v>
      </c>
      <c r="L433" s="6" t="s">
        <v>796</v>
      </c>
      <c r="M433" s="6" t="str">
        <f t="shared" si="20"/>
        <v>'JOH-18-3' =&gt; array('N'=&gt;'', 'C'=&gt;"Judas Betrays Jesus", 'F'=&gt;'NT-Gospel-205-Judas-Betrays-Jesus'),</v>
      </c>
    </row>
    <row r="434" spans="1:13" x14ac:dyDescent="0.25">
      <c r="A434" s="7">
        <v>43</v>
      </c>
      <c r="B434" s="4" t="s">
        <v>390</v>
      </c>
      <c r="C434" s="12">
        <v>18</v>
      </c>
      <c r="D434" s="5">
        <f>VLOOKUP(E434,Sheet2!A:C,2,FALSE)</f>
        <v>43</v>
      </c>
      <c r="E434" s="4" t="s">
        <v>482</v>
      </c>
      <c r="F434" s="5">
        <v>18</v>
      </c>
      <c r="G434" s="5" t="str">
        <f t="shared" si="18"/>
        <v>MULT</v>
      </c>
      <c r="H434" s="9">
        <v>4</v>
      </c>
      <c r="I434" s="9"/>
      <c r="J434" s="4" t="str">
        <f t="shared" si="19"/>
        <v/>
      </c>
      <c r="K434" s="4" t="s">
        <v>391</v>
      </c>
      <c r="L434" s="6" t="s">
        <v>797</v>
      </c>
      <c r="M434" s="6" t="str">
        <f t="shared" si="20"/>
        <v>'JOH-18-4' =&gt; array('N'=&gt;'', 'C'=&gt;"Peter Denies Knowing Jesus", 'F'=&gt;'NT-Gospel-206-Peter-Denies-Knowing-Jesus'),</v>
      </c>
    </row>
    <row r="435" spans="1:13" x14ac:dyDescent="0.25">
      <c r="A435" s="7">
        <v>41</v>
      </c>
      <c r="B435" s="4" t="s">
        <v>327</v>
      </c>
      <c r="C435" s="12">
        <v>15.1</v>
      </c>
      <c r="D435" s="5">
        <f>VLOOKUP(E435,Sheet2!A:C,2,FALSE)</f>
        <v>43</v>
      </c>
      <c r="E435" s="4" t="s">
        <v>482</v>
      </c>
      <c r="F435" s="5">
        <v>19</v>
      </c>
      <c r="G435" s="5" t="str">
        <f t="shared" si="18"/>
        <v/>
      </c>
      <c r="H435" s="9"/>
      <c r="I435" s="9">
        <v>13</v>
      </c>
      <c r="J435" s="4" t="str">
        <f t="shared" si="19"/>
        <v>YES</v>
      </c>
      <c r="K435" s="4" t="s">
        <v>450</v>
      </c>
      <c r="L435" s="6" t="s">
        <v>798</v>
      </c>
      <c r="M435" s="6" t="str">
        <f t="shared" si="20"/>
        <v>'JOH-19' =&gt; array('N'=&gt;'13', 'C'=&gt;"Jesus is Scourged", 'F'=&gt;'NT-Gospel-207-Jesus-is-Scourged'),</v>
      </c>
    </row>
    <row r="436" spans="1:13" x14ac:dyDescent="0.25">
      <c r="A436" s="7">
        <v>40</v>
      </c>
      <c r="B436" s="4" t="s">
        <v>306</v>
      </c>
      <c r="C436" s="12">
        <v>27.1</v>
      </c>
      <c r="D436" s="5">
        <f>VLOOKUP(E436,Sheet2!A:C,2,FALSE)</f>
        <v>43</v>
      </c>
      <c r="E436" s="4" t="s">
        <v>482</v>
      </c>
      <c r="F436" s="5">
        <v>19</v>
      </c>
      <c r="G436" s="5" t="str">
        <f t="shared" si="18"/>
        <v>MULT</v>
      </c>
      <c r="H436" s="9">
        <v>2</v>
      </c>
      <c r="I436" s="9"/>
      <c r="J436" s="4" t="str">
        <f t="shared" si="19"/>
        <v>YES</v>
      </c>
      <c r="K436" s="4" t="s">
        <v>448</v>
      </c>
      <c r="L436" s="6" t="s">
        <v>799</v>
      </c>
      <c r="M436" s="6" t="str">
        <f t="shared" si="20"/>
        <v>'JOH-19-2' =&gt; array('N'=&gt;'', 'C'=&gt;"Jesus is Crowned with Thorns", 'F'=&gt;'NT-Gospel-208-Jesus-is-Crowned-with-Thorns'),</v>
      </c>
    </row>
    <row r="437" spans="1:13" x14ac:dyDescent="0.25">
      <c r="A437" s="7">
        <v>40</v>
      </c>
      <c r="B437" s="4" t="s">
        <v>307</v>
      </c>
      <c r="C437" s="12">
        <v>27.2</v>
      </c>
      <c r="D437" s="5">
        <f>VLOOKUP(E437,Sheet2!A:C,2,FALSE)</f>
        <v>43</v>
      </c>
      <c r="E437" s="4" t="s">
        <v>482</v>
      </c>
      <c r="F437" s="5">
        <v>19</v>
      </c>
      <c r="G437" s="5" t="str">
        <f t="shared" si="18"/>
        <v>MULT</v>
      </c>
      <c r="H437" s="9">
        <v>3</v>
      </c>
      <c r="I437" s="9"/>
      <c r="J437" s="4" t="str">
        <f t="shared" si="19"/>
        <v>YES</v>
      </c>
      <c r="K437" s="4" t="s">
        <v>449</v>
      </c>
      <c r="L437" s="6" t="s">
        <v>800</v>
      </c>
      <c r="M437" s="6" t="str">
        <f t="shared" si="20"/>
        <v>'JOH-19-3' =&gt; array('N'=&gt;'', 'C'=&gt;"Jesus is Mocked", 'F'=&gt;'NT-Gospel-209-Jesus-is-Mocked'),</v>
      </c>
    </row>
    <row r="438" spans="1:13" x14ac:dyDescent="0.25">
      <c r="A438" s="7">
        <v>43</v>
      </c>
      <c r="B438" s="4" t="s">
        <v>392</v>
      </c>
      <c r="C438" s="12">
        <v>19.100000000000001</v>
      </c>
      <c r="D438" s="5">
        <f>VLOOKUP(E438,Sheet2!A:C,2,FALSE)</f>
        <v>43</v>
      </c>
      <c r="E438" s="4" t="s">
        <v>482</v>
      </c>
      <c r="F438" s="5">
        <v>19</v>
      </c>
      <c r="G438" s="5" t="str">
        <f t="shared" si="18"/>
        <v>MULT</v>
      </c>
      <c r="H438" s="9">
        <v>4</v>
      </c>
      <c r="I438" s="9"/>
      <c r="J438" s="4" t="str">
        <f t="shared" si="19"/>
        <v/>
      </c>
      <c r="K438" s="4" t="s">
        <v>453</v>
      </c>
      <c r="L438" s="6" t="s">
        <v>801</v>
      </c>
      <c r="M438" s="6" t="str">
        <f t="shared" si="20"/>
        <v>'JOH-19-4' =&gt; array('N'=&gt;'', 'C'=&gt;"Jesus is Presented to the People", 'F'=&gt;'NT-Gospel-210-Jesus-is-Presented-to-the-People'),</v>
      </c>
    </row>
    <row r="439" spans="1:13" x14ac:dyDescent="0.25">
      <c r="A439" s="7">
        <v>41</v>
      </c>
      <c r="B439" s="4" t="s">
        <v>328</v>
      </c>
      <c r="C439" s="12">
        <v>15.2</v>
      </c>
      <c r="D439" s="5">
        <f>VLOOKUP(E439,Sheet2!A:C,2,FALSE)</f>
        <v>43</v>
      </c>
      <c r="E439" s="4" t="s">
        <v>482</v>
      </c>
      <c r="F439" s="5">
        <v>19</v>
      </c>
      <c r="G439" s="5" t="str">
        <f t="shared" si="18"/>
        <v>MULT</v>
      </c>
      <c r="H439" s="9">
        <v>5</v>
      </c>
      <c r="I439" s="9"/>
      <c r="J439" s="4" t="str">
        <f t="shared" si="19"/>
        <v>YES</v>
      </c>
      <c r="K439" s="4" t="s">
        <v>329</v>
      </c>
      <c r="L439" s="6" t="s">
        <v>802</v>
      </c>
      <c r="M439" s="6" t="str">
        <f t="shared" si="20"/>
        <v>'JOH-19-5' =&gt; array('N'=&gt;'', 'C'=&gt;"Jesus Falls Beneath the Cross", 'F'=&gt;'NT-Gospel-211-Jesus-Falls-Beneath-the-Cross'),</v>
      </c>
    </row>
    <row r="440" spans="1:13" x14ac:dyDescent="0.25">
      <c r="A440" s="7">
        <v>42</v>
      </c>
      <c r="B440" s="4" t="s">
        <v>367</v>
      </c>
      <c r="C440" s="12">
        <v>23.1</v>
      </c>
      <c r="D440" s="5">
        <f>VLOOKUP(E440,Sheet2!A:C,2,FALSE)</f>
        <v>43</v>
      </c>
      <c r="E440" s="4" t="s">
        <v>482</v>
      </c>
      <c r="F440" s="5">
        <v>19</v>
      </c>
      <c r="G440" s="5" t="str">
        <f t="shared" si="18"/>
        <v>MULT</v>
      </c>
      <c r="H440" s="9">
        <v>6</v>
      </c>
      <c r="I440" s="9"/>
      <c r="J440" s="4" t="str">
        <f t="shared" si="19"/>
        <v>YES</v>
      </c>
      <c r="K440" s="4" t="s">
        <v>368</v>
      </c>
      <c r="L440" s="6" t="s">
        <v>803</v>
      </c>
      <c r="M440" s="6" t="str">
        <f t="shared" si="20"/>
        <v>'JOH-19-6' =&gt; array('N'=&gt;'', 'C'=&gt;"Jesus Arrives at Calvary", 'F'=&gt;'NT-Gospel-212-Jesus-Arrives-at-Calvary'),</v>
      </c>
    </row>
    <row r="441" spans="1:13" s="18" customFormat="1" x14ac:dyDescent="0.25">
      <c r="A441" s="7">
        <v>43</v>
      </c>
      <c r="B441" s="4" t="s">
        <v>393</v>
      </c>
      <c r="C441" s="12">
        <v>19.2</v>
      </c>
      <c r="D441" s="5">
        <f>VLOOKUP(E441,Sheet2!A:C,2,FALSE)</f>
        <v>43</v>
      </c>
      <c r="E441" s="4" t="s">
        <v>482</v>
      </c>
      <c r="F441" s="5">
        <v>19</v>
      </c>
      <c r="G441" s="5" t="str">
        <f t="shared" si="18"/>
        <v>MULT</v>
      </c>
      <c r="H441" s="9">
        <v>7</v>
      </c>
      <c r="I441" s="9"/>
      <c r="J441" s="4" t="str">
        <f t="shared" si="19"/>
        <v/>
      </c>
      <c r="K441" s="4" t="s">
        <v>454</v>
      </c>
      <c r="L441" s="6" t="s">
        <v>804</v>
      </c>
      <c r="M441" s="6" t="str">
        <f t="shared" si="20"/>
        <v>'JOH-19-7' =&gt; array('N'=&gt;'', 'C'=&gt;"Jesus is Nailed to the Cross", 'F'=&gt;'NT-Gospel-213-Jesus-is-Nailed-to-the-Cross'),</v>
      </c>
    </row>
    <row r="442" spans="1:13" s="18" customFormat="1" x14ac:dyDescent="0.25">
      <c r="A442" s="7">
        <v>42</v>
      </c>
      <c r="B442" s="4" t="s">
        <v>369</v>
      </c>
      <c r="C442" s="12">
        <v>23.2</v>
      </c>
      <c r="D442" s="5">
        <f>VLOOKUP(E442,Sheet2!A:C,2,FALSE)</f>
        <v>43</v>
      </c>
      <c r="E442" s="4" t="s">
        <v>482</v>
      </c>
      <c r="F442" s="5">
        <v>19</v>
      </c>
      <c r="G442" s="5" t="str">
        <f t="shared" si="18"/>
        <v>MULT</v>
      </c>
      <c r="H442" s="9">
        <v>8</v>
      </c>
      <c r="I442" s="9"/>
      <c r="J442" s="4" t="str">
        <f t="shared" si="19"/>
        <v>YES</v>
      </c>
      <c r="K442" s="4" t="s">
        <v>452</v>
      </c>
      <c r="L442" s="6" t="s">
        <v>805</v>
      </c>
      <c r="M442" s="6" t="str">
        <f t="shared" si="20"/>
        <v>'JOH-19-8' =&gt; array('N'=&gt;'', 'C'=&gt;"The Cross is Lifted Up", 'F'=&gt;'NT-Gospel-214-The-Cross-is-Lifted-Up'),</v>
      </c>
    </row>
    <row r="443" spans="1:13" s="18" customFormat="1" x14ac:dyDescent="0.25">
      <c r="A443" s="7">
        <v>40</v>
      </c>
      <c r="B443" s="4" t="s">
        <v>308</v>
      </c>
      <c r="C443" s="12">
        <v>27.3</v>
      </c>
      <c r="D443" s="5">
        <f>VLOOKUP(E443,Sheet2!A:C,2,FALSE)</f>
        <v>43</v>
      </c>
      <c r="E443" s="4" t="s">
        <v>482</v>
      </c>
      <c r="F443" s="5">
        <v>19</v>
      </c>
      <c r="G443" s="5" t="str">
        <f t="shared" si="18"/>
        <v>MULT</v>
      </c>
      <c r="H443" s="9">
        <v>9</v>
      </c>
      <c r="I443" s="9"/>
      <c r="J443" s="4" t="str">
        <f t="shared" si="19"/>
        <v>YES</v>
      </c>
      <c r="K443" s="4" t="s">
        <v>309</v>
      </c>
      <c r="L443" s="6" t="s">
        <v>806</v>
      </c>
      <c r="M443" s="6" t="str">
        <f t="shared" si="20"/>
        <v>'JOH-19-9' =&gt; array('N'=&gt;'', 'C'=&gt;"The Crucifixion of Jesus and Two Criminals", 'F'=&gt;'NT-Gospel-215-The-Crucifixion-of-Jesus-and-Two-Criminals'),</v>
      </c>
    </row>
    <row r="444" spans="1:13" s="18" customFormat="1" x14ac:dyDescent="0.25">
      <c r="A444" s="7">
        <v>42</v>
      </c>
      <c r="B444" s="4" t="s">
        <v>370</v>
      </c>
      <c r="C444" s="12">
        <v>23.3</v>
      </c>
      <c r="D444" s="5">
        <f>VLOOKUP(E444,Sheet2!A:C,2,FALSE)</f>
        <v>43</v>
      </c>
      <c r="E444" s="4" t="s">
        <v>482</v>
      </c>
      <c r="F444" s="5">
        <v>19</v>
      </c>
      <c r="G444" s="5" t="str">
        <f t="shared" si="18"/>
        <v>MULT</v>
      </c>
      <c r="H444" s="9">
        <v>10</v>
      </c>
      <c r="I444" s="9"/>
      <c r="J444" s="4" t="str">
        <f t="shared" si="19"/>
        <v>YES</v>
      </c>
      <c r="K444" s="4" t="s">
        <v>371</v>
      </c>
      <c r="L444" s="6" t="s">
        <v>807</v>
      </c>
      <c r="M444" s="6" t="str">
        <f t="shared" si="20"/>
        <v>'JOH-19-10' =&gt; array('N'=&gt;'', 'C'=&gt;"Darkness at the Crucifixion", 'F'=&gt;'NT-Gospel-216-Darkness-at-the-Crucifixion'),</v>
      </c>
    </row>
    <row r="445" spans="1:13" x14ac:dyDescent="0.25">
      <c r="A445" s="7">
        <v>41</v>
      </c>
      <c r="B445" s="4" t="s">
        <v>330</v>
      </c>
      <c r="C445" s="12">
        <v>15.3</v>
      </c>
      <c r="D445" s="5">
        <f>VLOOKUP(E445,Sheet2!A:C,2,FALSE)</f>
        <v>43</v>
      </c>
      <c r="E445" s="4" t="s">
        <v>482</v>
      </c>
      <c r="F445" s="5">
        <v>19</v>
      </c>
      <c r="G445" s="5" t="str">
        <f t="shared" si="18"/>
        <v>MULT</v>
      </c>
      <c r="H445" s="9">
        <v>11</v>
      </c>
      <c r="I445" s="9"/>
      <c r="J445" s="4" t="str">
        <f t="shared" si="19"/>
        <v>YES</v>
      </c>
      <c r="K445" s="4" t="s">
        <v>451</v>
      </c>
      <c r="L445" s="6" t="s">
        <v>808</v>
      </c>
      <c r="M445" s="6" t="str">
        <f t="shared" si="20"/>
        <v>'JOH-19-11' =&gt; array('N'=&gt;'', 'C'=&gt;"Jesus' Body is Removed from the Cross", 'F'=&gt;'NT-Gospel-217-Jesus-Body-is-Removed-from-the-Cross'),</v>
      </c>
    </row>
    <row r="446" spans="1:13" x14ac:dyDescent="0.25">
      <c r="A446" s="7">
        <v>43</v>
      </c>
      <c r="B446" s="4" t="s">
        <v>394</v>
      </c>
      <c r="C446" s="12">
        <v>19.3</v>
      </c>
      <c r="D446" s="5">
        <f>VLOOKUP(E446,Sheet2!A:C,2,FALSE)</f>
        <v>43</v>
      </c>
      <c r="E446" s="4" t="s">
        <v>482</v>
      </c>
      <c r="F446" s="5">
        <v>19</v>
      </c>
      <c r="G446" s="5" t="str">
        <f t="shared" si="18"/>
        <v>MULT</v>
      </c>
      <c r="H446" s="9">
        <v>12</v>
      </c>
      <c r="I446" s="9"/>
      <c r="J446" s="4" t="str">
        <f t="shared" si="19"/>
        <v/>
      </c>
      <c r="K446" s="4" t="s">
        <v>395</v>
      </c>
      <c r="L446" s="6" t="s">
        <v>809</v>
      </c>
      <c r="M446" s="6" t="str">
        <f t="shared" si="20"/>
        <v>'JOH-19-12' =&gt; array('N'=&gt;'', 'C'=&gt;"Disciples Mourn over the Dead Jesus", 'F'=&gt;'NT-Gospel-218-Disciples-Mourn-over-the-Dead-Jesus'),</v>
      </c>
    </row>
    <row r="447" spans="1:13" x14ac:dyDescent="0.25">
      <c r="A447" s="7">
        <v>43</v>
      </c>
      <c r="B447" s="4" t="s">
        <v>396</v>
      </c>
      <c r="C447" s="12">
        <v>19.399999999999999</v>
      </c>
      <c r="D447" s="5">
        <f>VLOOKUP(E447,Sheet2!A:C,2,FALSE)</f>
        <v>43</v>
      </c>
      <c r="E447" s="4" t="s">
        <v>482</v>
      </c>
      <c r="F447" s="5">
        <v>19</v>
      </c>
      <c r="G447" s="5" t="str">
        <f t="shared" si="18"/>
        <v>MULT</v>
      </c>
      <c r="H447" s="9">
        <v>13</v>
      </c>
      <c r="I447" s="9"/>
      <c r="J447" s="4" t="str">
        <f t="shared" si="19"/>
        <v/>
      </c>
      <c r="K447" s="4" t="s">
        <v>455</v>
      </c>
      <c r="L447" s="6" t="s">
        <v>810</v>
      </c>
      <c r="M447" s="6" t="str">
        <f t="shared" si="20"/>
        <v>'JOH-19-13' =&gt; array('N'=&gt;'', 'C'=&gt;"Jesus is Buried in the Tomb", 'F'=&gt;'NT-Gospel-219-Jesus-is-Buried-in-the-Tomb'),</v>
      </c>
    </row>
    <row r="448" spans="1:13" x14ac:dyDescent="0.25">
      <c r="A448" s="7">
        <v>40</v>
      </c>
      <c r="B448" s="4" t="s">
        <v>310</v>
      </c>
      <c r="C448" s="12">
        <v>28</v>
      </c>
      <c r="D448" s="5">
        <f>VLOOKUP(E448,Sheet2!A:C,2,FALSE)</f>
        <v>43</v>
      </c>
      <c r="E448" s="4" t="s">
        <v>482</v>
      </c>
      <c r="F448" s="5">
        <v>20</v>
      </c>
      <c r="G448" s="5" t="str">
        <f t="shared" si="18"/>
        <v/>
      </c>
      <c r="H448" s="9"/>
      <c r="I448" s="9"/>
      <c r="J448" s="4" t="str">
        <f t="shared" si="19"/>
        <v>YES</v>
      </c>
      <c r="K448" s="4" t="s">
        <v>311</v>
      </c>
      <c r="L448" s="6" t="s">
        <v>811</v>
      </c>
      <c r="M448" s="6" t="str">
        <f t="shared" si="20"/>
        <v>'JOH-20' =&gt; array('N'=&gt;'', 'C'=&gt;"The Angel and Women at the Empty Tomb", 'F'=&gt;'NT-Gospel-220-The-Angel-and-Women-at-the-Empty-Tomb'),</v>
      </c>
    </row>
    <row r="449" spans="1:13" x14ac:dyDescent="0.25">
      <c r="A449" s="7">
        <v>43</v>
      </c>
      <c r="B449" s="4" t="s">
        <v>397</v>
      </c>
      <c r="C449" s="12">
        <v>21</v>
      </c>
      <c r="D449" s="5">
        <f>VLOOKUP(E449,Sheet2!A:C,2,FALSE)</f>
        <v>43</v>
      </c>
      <c r="E449" s="4" t="s">
        <v>482</v>
      </c>
      <c r="F449" s="5">
        <v>21</v>
      </c>
      <c r="G449" s="5" t="str">
        <f t="shared" si="18"/>
        <v/>
      </c>
      <c r="H449" s="9"/>
      <c r="I449" s="9">
        <v>2</v>
      </c>
      <c r="J449" s="4" t="str">
        <f t="shared" si="19"/>
        <v/>
      </c>
      <c r="K449" s="4" t="s">
        <v>398</v>
      </c>
      <c r="L449" s="6" t="s">
        <v>829</v>
      </c>
      <c r="M449" s="6" t="str">
        <f t="shared" si="20"/>
        <v>'JOH-21' =&gt; array('N'=&gt;'2', 'C'=&gt;"The Miraculous Catch of Fish", 'F'=&gt;'NT-Gospel-222-The-Miraculous-Catch-of-Fish'),</v>
      </c>
    </row>
    <row r="450" spans="1:13" x14ac:dyDescent="0.25">
      <c r="A450" s="7">
        <v>42</v>
      </c>
      <c r="B450" s="4" t="s">
        <v>374</v>
      </c>
      <c r="C450" s="12">
        <v>24.2</v>
      </c>
      <c r="D450" s="5">
        <f>VLOOKUP(E450,Sheet2!A:C,2,FALSE)</f>
        <v>43</v>
      </c>
      <c r="E450" s="4" t="s">
        <v>482</v>
      </c>
      <c r="F450" s="5">
        <v>21</v>
      </c>
      <c r="G450" s="5" t="str">
        <f t="shared" si="18"/>
        <v>MULT</v>
      </c>
      <c r="H450" s="9">
        <v>2</v>
      </c>
      <c r="I450" s="9"/>
      <c r="J450" s="4" t="str">
        <f t="shared" si="19"/>
        <v>YES</v>
      </c>
      <c r="K450" s="4" t="s">
        <v>375</v>
      </c>
      <c r="L450" s="6" t="s">
        <v>812</v>
      </c>
      <c r="M450" s="6" t="str">
        <f t="shared" si="20"/>
        <v>'JOH-21-2' =&gt; array('N'=&gt;'', 'C'=&gt;"Jesus Ascends to Heaven", 'F'=&gt;'NT-Gospel-223-Jesus-Ascends-to-Heaven'),</v>
      </c>
    </row>
    <row r="451" spans="1:13" x14ac:dyDescent="0.25">
      <c r="A451" s="7">
        <v>42</v>
      </c>
      <c r="B451" s="4" t="s">
        <v>374</v>
      </c>
      <c r="C451" s="12">
        <v>24.2</v>
      </c>
      <c r="D451" s="5">
        <f>VLOOKUP(E451,Sheet2!A:C,2,FALSE)</f>
        <v>44</v>
      </c>
      <c r="E451" s="4" t="s">
        <v>471</v>
      </c>
      <c r="F451" s="5">
        <v>1</v>
      </c>
      <c r="G451" s="5" t="str">
        <f t="shared" ref="G451:G514" si="21">IF(E451&lt;&gt;E450,"",IF(F451&lt;&gt;F450,"","MULT"))</f>
        <v/>
      </c>
      <c r="H451" s="9"/>
      <c r="I451" s="9"/>
      <c r="J451" s="4" t="str">
        <f t="shared" ref="J451:J514" si="22">IF(A451&lt;&gt;D451,"YES",IF(INT(C451)&lt;&gt;F451,"YES",""))</f>
        <v>YES</v>
      </c>
      <c r="K451" s="4" t="s">
        <v>375</v>
      </c>
      <c r="L451" s="6" t="s">
        <v>812</v>
      </c>
      <c r="M451" s="6" t="str">
        <f t="shared" ref="M451:M514" si="23">"'"&amp;E451&amp;"-"&amp;F451&amp;IF(H451="","","-")&amp;H451&amp;"' =&gt; array('N'=&gt;'"&amp;I451&amp;"', 'C'=&gt;"""&amp;K451&amp;""", 'F'=&gt;'"&amp;L451&amp;"'),"</f>
        <v>'ACT-1' =&gt; array('N'=&gt;'', 'C'=&gt;"Jesus Ascends to Heaven", 'F'=&gt;'NT-Gospel-223-Jesus-Ascends-to-Heaven'),</v>
      </c>
    </row>
    <row r="452" spans="1:13" x14ac:dyDescent="0.25">
      <c r="A452" s="7">
        <v>1</v>
      </c>
      <c r="B452" s="4" t="s">
        <v>16</v>
      </c>
      <c r="C452" s="12">
        <v>11</v>
      </c>
      <c r="D452" s="5">
        <f>VLOOKUP(E452,Sheet2!A:C,2,FALSE)</f>
        <v>44</v>
      </c>
      <c r="E452" s="4" t="s">
        <v>471</v>
      </c>
      <c r="F452" s="5">
        <v>2</v>
      </c>
      <c r="G452" s="5" t="str">
        <f t="shared" si="21"/>
        <v/>
      </c>
      <c r="H452" s="9"/>
      <c r="I452" s="9">
        <v>3</v>
      </c>
      <c r="J452" s="4" t="str">
        <f t="shared" si="22"/>
        <v>YES</v>
      </c>
      <c r="K452" s="4" t="s">
        <v>17</v>
      </c>
      <c r="L452" s="6" t="s">
        <v>637</v>
      </c>
      <c r="M452" s="6" t="str">
        <f t="shared" si="23"/>
        <v>'ACT-2' =&gt; array('N'=&gt;'3', 'C'=&gt;"The Tower of Babel", 'F'=&gt;'Hebrew-OT-010-The-Tower-of-Babel'),</v>
      </c>
    </row>
    <row r="453" spans="1:13" x14ac:dyDescent="0.25">
      <c r="A453" s="7">
        <v>44</v>
      </c>
      <c r="B453" s="4" t="s">
        <v>399</v>
      </c>
      <c r="C453" s="12">
        <v>2.1</v>
      </c>
      <c r="D453" s="5">
        <f>VLOOKUP(E453,Sheet2!A:C,2,FALSE)</f>
        <v>44</v>
      </c>
      <c r="E453" s="4" t="s">
        <v>471</v>
      </c>
      <c r="F453" s="5">
        <v>2</v>
      </c>
      <c r="G453" s="5" t="str">
        <f t="shared" si="21"/>
        <v>MULT</v>
      </c>
      <c r="H453" s="9">
        <v>2</v>
      </c>
      <c r="I453" s="9"/>
      <c r="J453" s="4" t="str">
        <f t="shared" si="22"/>
        <v/>
      </c>
      <c r="K453" s="4" t="s">
        <v>400</v>
      </c>
      <c r="L453" s="6" t="s">
        <v>830</v>
      </c>
      <c r="M453" s="6" t="str">
        <f t="shared" si="23"/>
        <v>'ACT-2-2' =&gt; array('N'=&gt;'', 'C'=&gt;"The Holy Spirit Descends on the Disciples", 'F'=&gt;'NT-Gospel-224-The-Holy-Spirit-Descends-on-the-Disciples'),</v>
      </c>
    </row>
    <row r="454" spans="1:13" x14ac:dyDescent="0.25">
      <c r="A454" s="7">
        <v>44</v>
      </c>
      <c r="B454" s="4" t="s">
        <v>401</v>
      </c>
      <c r="C454" s="12">
        <v>2.2000000000000002</v>
      </c>
      <c r="D454" s="5">
        <f>VLOOKUP(E454,Sheet2!A:C,2,FALSE)</f>
        <v>44</v>
      </c>
      <c r="E454" s="4" t="s">
        <v>471</v>
      </c>
      <c r="F454" s="5">
        <v>2</v>
      </c>
      <c r="G454" s="5" t="str">
        <f t="shared" si="21"/>
        <v>MULT</v>
      </c>
      <c r="H454" s="9">
        <v>3</v>
      </c>
      <c r="I454" s="9"/>
      <c r="J454" s="4" t="str">
        <f t="shared" si="22"/>
        <v/>
      </c>
      <c r="K454" s="4" t="s">
        <v>402</v>
      </c>
      <c r="L454" s="6" t="s">
        <v>831</v>
      </c>
      <c r="M454" s="6" t="str">
        <f t="shared" si="23"/>
        <v>'ACT-2-3' =&gt; array('N'=&gt;'', 'C'=&gt;"The Apostles Preach the Gospel", 'F'=&gt;'NT-Gospel-225-The-Apostles-Preach-the-Gospel'),</v>
      </c>
    </row>
    <row r="455" spans="1:13" x14ac:dyDescent="0.25">
      <c r="A455" s="7">
        <v>44</v>
      </c>
      <c r="B455" s="4" t="s">
        <v>403</v>
      </c>
      <c r="C455" s="12">
        <v>3</v>
      </c>
      <c r="D455" s="5">
        <f>VLOOKUP(E455,Sheet2!A:C,2,FALSE)</f>
        <v>44</v>
      </c>
      <c r="E455" s="4" t="s">
        <v>471</v>
      </c>
      <c r="F455" s="5">
        <v>3</v>
      </c>
      <c r="G455" s="5" t="str">
        <f t="shared" si="21"/>
        <v/>
      </c>
      <c r="H455" s="9"/>
      <c r="I455" s="9"/>
      <c r="J455" s="4" t="str">
        <f t="shared" si="22"/>
        <v/>
      </c>
      <c r="K455" s="4" t="s">
        <v>404</v>
      </c>
      <c r="L455" s="6" t="s">
        <v>832</v>
      </c>
      <c r="M455" s="6" t="str">
        <f t="shared" si="23"/>
        <v>'ACT-3' =&gt; array('N'=&gt;'', 'C'=&gt;"Peter and John at the Beautiful Gate", 'F'=&gt;'NT-Gospel-226-Peter-and-John-at-the-Beautiful-Gate'),</v>
      </c>
    </row>
    <row r="456" spans="1:13" x14ac:dyDescent="0.25">
      <c r="A456" s="7">
        <v>44</v>
      </c>
      <c r="B456" s="4" t="s">
        <v>405</v>
      </c>
      <c r="C456" s="12">
        <v>5</v>
      </c>
      <c r="D456" s="5">
        <f>VLOOKUP(E456,Sheet2!A:C,2,FALSE)</f>
        <v>44</v>
      </c>
      <c r="E456" s="4" t="s">
        <v>471</v>
      </c>
      <c r="F456" s="5">
        <v>5</v>
      </c>
      <c r="G456" s="5" t="str">
        <f t="shared" si="21"/>
        <v/>
      </c>
      <c r="H456" s="9"/>
      <c r="I456" s="9"/>
      <c r="J456" s="4" t="str">
        <f t="shared" si="22"/>
        <v/>
      </c>
      <c r="K456" s="4" t="s">
        <v>406</v>
      </c>
      <c r="L456" s="6" t="s">
        <v>833</v>
      </c>
      <c r="M456" s="6" t="str">
        <f t="shared" si="23"/>
        <v>'ACT-5' =&gt; array('N'=&gt;'', 'C'=&gt;"The Death of Ananias", 'F'=&gt;'NT-Gospel-227-The-Death-of-Ananias'),</v>
      </c>
    </row>
    <row r="457" spans="1:13" x14ac:dyDescent="0.25">
      <c r="A457" s="7">
        <v>2</v>
      </c>
      <c r="B457" s="4" t="s">
        <v>75</v>
      </c>
      <c r="C457" s="12">
        <v>32.1</v>
      </c>
      <c r="D457" s="5">
        <f>VLOOKUP(E457,Sheet2!A:C,2,FALSE)</f>
        <v>44</v>
      </c>
      <c r="E457" s="4" t="s">
        <v>471</v>
      </c>
      <c r="F457" s="5">
        <v>7</v>
      </c>
      <c r="G457" s="5" t="str">
        <f t="shared" si="21"/>
        <v/>
      </c>
      <c r="H457" s="9"/>
      <c r="I457" s="9">
        <v>2</v>
      </c>
      <c r="J457" s="4" t="str">
        <f t="shared" si="22"/>
        <v>YES</v>
      </c>
      <c r="K457" s="4" t="s">
        <v>76</v>
      </c>
      <c r="L457" s="6" t="s">
        <v>667</v>
      </c>
      <c r="M457" s="6" t="str">
        <f t="shared" si="23"/>
        <v>'ACT-7' =&gt; array('N'=&gt;'2', 'C'=&gt;"Moses Comes Down from Mount Sinai", 'F'=&gt;'Hebrew-OT-040-Moses-Comes-Down-from-Mount-Sinai'),</v>
      </c>
    </row>
    <row r="458" spans="1:13" x14ac:dyDescent="0.25">
      <c r="A458" s="7">
        <v>44</v>
      </c>
      <c r="B458" s="4" t="s">
        <v>407</v>
      </c>
      <c r="C458" s="12">
        <v>7</v>
      </c>
      <c r="D458" s="5">
        <f>VLOOKUP(E458,Sheet2!A:C,2,FALSE)</f>
        <v>44</v>
      </c>
      <c r="E458" s="4" t="s">
        <v>471</v>
      </c>
      <c r="F458" s="5">
        <v>7</v>
      </c>
      <c r="G458" s="5" t="str">
        <f t="shared" si="21"/>
        <v>MULT</v>
      </c>
      <c r="H458" s="9">
        <v>2</v>
      </c>
      <c r="I458" s="9"/>
      <c r="J458" s="4" t="str">
        <f t="shared" si="22"/>
        <v/>
      </c>
      <c r="K458" s="4" t="s">
        <v>434</v>
      </c>
      <c r="L458" s="6" t="s">
        <v>834</v>
      </c>
      <c r="M458" s="6" t="str">
        <f t="shared" si="23"/>
        <v>'ACT-7-2' =&gt; array('N'=&gt;'', 'C'=&gt;"The Martyrdom of Stephen", 'F'=&gt;'NT-Gospel-228-The-Martyrdom-of-Stephen'),</v>
      </c>
    </row>
    <row r="459" spans="1:13" x14ac:dyDescent="0.25">
      <c r="A459" s="7">
        <v>23</v>
      </c>
      <c r="B459" s="4" t="s">
        <v>246</v>
      </c>
      <c r="C459" s="12">
        <v>6</v>
      </c>
      <c r="D459" s="5">
        <f>VLOOKUP(E459,Sheet2!A:C,2,FALSE)</f>
        <v>44</v>
      </c>
      <c r="E459" s="4" t="s">
        <v>471</v>
      </c>
      <c r="F459" s="5">
        <v>8</v>
      </c>
      <c r="G459" s="5" t="str">
        <f t="shared" si="21"/>
        <v/>
      </c>
      <c r="H459" s="9"/>
      <c r="I459" s="9"/>
      <c r="J459" s="4" t="str">
        <f t="shared" si="22"/>
        <v>YES</v>
      </c>
      <c r="K459" s="4" t="s">
        <v>247</v>
      </c>
      <c r="L459" s="6" t="s">
        <v>749</v>
      </c>
      <c r="M459" s="6" t="str">
        <f t="shared" si="23"/>
        <v>'ACT-8' =&gt; array('N'=&gt;'', 'C'=&gt;"The Prophet Isaiah", 'F'=&gt;'Hebrew-OT-110-The-Prophet-Isaiah'),</v>
      </c>
    </row>
    <row r="460" spans="1:13" x14ac:dyDescent="0.25">
      <c r="A460" s="7">
        <v>44</v>
      </c>
      <c r="B460" s="4" t="s">
        <v>408</v>
      </c>
      <c r="C460" s="12">
        <v>9</v>
      </c>
      <c r="D460" s="5">
        <f>VLOOKUP(E460,Sheet2!A:C,2,FALSE)</f>
        <v>44</v>
      </c>
      <c r="E460" s="4" t="s">
        <v>471</v>
      </c>
      <c r="F460" s="5">
        <v>9</v>
      </c>
      <c r="G460" s="5" t="str">
        <f t="shared" si="21"/>
        <v/>
      </c>
      <c r="H460" s="9"/>
      <c r="I460" s="9"/>
      <c r="J460" s="4" t="str">
        <f t="shared" si="22"/>
        <v/>
      </c>
      <c r="K460" s="4" t="s">
        <v>409</v>
      </c>
      <c r="L460" s="6" t="s">
        <v>835</v>
      </c>
      <c r="M460" s="6" t="str">
        <f t="shared" si="23"/>
        <v>'ACT-9' =&gt; array('N'=&gt;'', 'C'=&gt;"The Conversion of Saul", 'F'=&gt;'NT-Gospel-229-The-Conversion-of-Saul'),</v>
      </c>
    </row>
    <row r="461" spans="1:13" x14ac:dyDescent="0.25">
      <c r="A461" s="7">
        <v>44</v>
      </c>
      <c r="B461" s="4" t="s">
        <v>410</v>
      </c>
      <c r="C461" s="12">
        <v>10</v>
      </c>
      <c r="D461" s="5">
        <f>VLOOKUP(E461,Sheet2!A:C,2,FALSE)</f>
        <v>44</v>
      </c>
      <c r="E461" s="4" t="s">
        <v>471</v>
      </c>
      <c r="F461" s="5">
        <v>10</v>
      </c>
      <c r="G461" s="5" t="str">
        <f t="shared" si="21"/>
        <v/>
      </c>
      <c r="H461" s="9"/>
      <c r="I461" s="9"/>
      <c r="J461" s="4" t="str">
        <f t="shared" si="22"/>
        <v/>
      </c>
      <c r="K461" s="4" t="s">
        <v>411</v>
      </c>
      <c r="L461" s="6" t="s">
        <v>836</v>
      </c>
      <c r="M461" s="6" t="str">
        <f t="shared" si="23"/>
        <v>'ACT-10' =&gt; array('N'=&gt;'', 'C'=&gt;"Peter Preaches in the House of Cornelius", 'F'=&gt;'NT-Gospel-230-Peter-Preaches-in-the-House-of-Cornelius'),</v>
      </c>
    </row>
    <row r="462" spans="1:13" x14ac:dyDescent="0.25">
      <c r="A462" s="7">
        <v>44</v>
      </c>
      <c r="B462" s="4" t="s">
        <v>412</v>
      </c>
      <c r="C462" s="12">
        <v>12</v>
      </c>
      <c r="D462" s="5">
        <f>VLOOKUP(E462,Sheet2!A:C,2,FALSE)</f>
        <v>44</v>
      </c>
      <c r="E462" s="4" t="s">
        <v>471</v>
      </c>
      <c r="F462" s="5">
        <v>12</v>
      </c>
      <c r="G462" s="5" t="str">
        <f t="shared" si="21"/>
        <v/>
      </c>
      <c r="H462" s="9"/>
      <c r="I462" s="9"/>
      <c r="J462" s="4" t="str">
        <f t="shared" si="22"/>
        <v/>
      </c>
      <c r="K462" s="4" t="s">
        <v>456</v>
      </c>
      <c r="L462" s="6" t="s">
        <v>837</v>
      </c>
      <c r="M462" s="6" t="str">
        <f t="shared" si="23"/>
        <v>'ACT-12' =&gt; array('N'=&gt;'', 'C'=&gt;"Peter is Delivered from Prison", 'F'=&gt;'NT-Gospel-231-Peter-is-Delivered-from-Prison'),</v>
      </c>
    </row>
    <row r="463" spans="1:13" x14ac:dyDescent="0.25">
      <c r="A463" s="7">
        <v>44</v>
      </c>
      <c r="B463" s="4" t="s">
        <v>413</v>
      </c>
      <c r="C463" s="12">
        <v>17</v>
      </c>
      <c r="D463" s="5">
        <f>VLOOKUP(E463,Sheet2!A:C,2,FALSE)</f>
        <v>44</v>
      </c>
      <c r="E463" s="4" t="s">
        <v>471</v>
      </c>
      <c r="F463" s="5">
        <v>17</v>
      </c>
      <c r="G463" s="5" t="str">
        <f t="shared" si="21"/>
        <v/>
      </c>
      <c r="H463" s="9"/>
      <c r="I463" s="9"/>
      <c r="J463" s="4" t="str">
        <f t="shared" si="22"/>
        <v/>
      </c>
      <c r="K463" s="4" t="s">
        <v>414</v>
      </c>
      <c r="L463" s="6" t="s">
        <v>838</v>
      </c>
      <c r="M463" s="6" t="str">
        <f t="shared" si="23"/>
        <v>'ACT-17' =&gt; array('N'=&gt;'', 'C'=&gt;"Paul Preaches to the Thessalonians", 'F'=&gt;'NT-Gospel-232-Paul-Preaches-to-the-Thessalonians'),</v>
      </c>
    </row>
    <row r="464" spans="1:13" x14ac:dyDescent="0.25">
      <c r="A464" s="7">
        <v>44</v>
      </c>
      <c r="B464" s="4" t="s">
        <v>415</v>
      </c>
      <c r="C464" s="12">
        <v>19</v>
      </c>
      <c r="D464" s="5">
        <f>VLOOKUP(E464,Sheet2!A:C,2,FALSE)</f>
        <v>44</v>
      </c>
      <c r="E464" s="4" t="s">
        <v>471</v>
      </c>
      <c r="F464" s="5">
        <v>19</v>
      </c>
      <c r="G464" s="5" t="str">
        <f t="shared" si="21"/>
        <v/>
      </c>
      <c r="H464" s="9"/>
      <c r="I464" s="9"/>
      <c r="J464" s="4" t="str">
        <f t="shared" si="22"/>
        <v/>
      </c>
      <c r="K464" s="4" t="s">
        <v>416</v>
      </c>
      <c r="L464" s="6" t="s">
        <v>839</v>
      </c>
      <c r="M464" s="6" t="str">
        <f t="shared" si="23"/>
        <v>'ACT-19' =&gt; array('N'=&gt;'', 'C'=&gt;"Paul Preaches at Ephesus", 'F'=&gt;'NT-Gospel-233-Paul-Preaches-at-Ephesus'),</v>
      </c>
    </row>
    <row r="465" spans="1:13" x14ac:dyDescent="0.25">
      <c r="A465" s="7">
        <v>44</v>
      </c>
      <c r="B465" s="4" t="s">
        <v>417</v>
      </c>
      <c r="C465" s="12">
        <v>21</v>
      </c>
      <c r="D465" s="5">
        <f>VLOOKUP(E465,Sheet2!A:C,2,FALSE)</f>
        <v>44</v>
      </c>
      <c r="E465" s="4" t="s">
        <v>471</v>
      </c>
      <c r="F465" s="5">
        <v>21</v>
      </c>
      <c r="G465" s="5" t="str">
        <f t="shared" si="21"/>
        <v/>
      </c>
      <c r="H465" s="9"/>
      <c r="I465" s="9"/>
      <c r="J465" s="4" t="str">
        <f t="shared" si="22"/>
        <v/>
      </c>
      <c r="K465" s="4" t="s">
        <v>457</v>
      </c>
      <c r="L465" s="6" t="s">
        <v>840</v>
      </c>
      <c r="M465" s="6" t="str">
        <f t="shared" si="23"/>
        <v>'ACT-21' =&gt; array('N'=&gt;'', 'C'=&gt;"Paul is Rescued from the Crowd", 'F'=&gt;'NT-Gospel-234-Paul-is-Rescued-from-the-Crowd'),</v>
      </c>
    </row>
    <row r="466" spans="1:13" x14ac:dyDescent="0.25">
      <c r="A466" s="7">
        <v>44</v>
      </c>
      <c r="B466" s="4" t="s">
        <v>418</v>
      </c>
      <c r="C466" s="12">
        <v>27</v>
      </c>
      <c r="D466" s="5">
        <f>VLOOKUP(E466,Sheet2!A:C,2,FALSE)</f>
        <v>44</v>
      </c>
      <c r="E466" s="4" t="s">
        <v>471</v>
      </c>
      <c r="F466" s="5">
        <v>27</v>
      </c>
      <c r="G466" s="5" t="str">
        <f t="shared" si="21"/>
        <v/>
      </c>
      <c r="H466" s="9"/>
      <c r="I466" s="9"/>
      <c r="J466" s="4" t="str">
        <f t="shared" si="22"/>
        <v/>
      </c>
      <c r="K466" s="4" t="s">
        <v>458</v>
      </c>
      <c r="L466" s="6" t="s">
        <v>841</v>
      </c>
      <c r="M466" s="6" t="str">
        <f t="shared" si="23"/>
        <v>'ACT-27' =&gt; array('N'=&gt;'', 'C'=&gt;"Paul is Shipwrecked", 'F'=&gt;'NT-Gospel-235-Paul-is-Shipwrecked'),</v>
      </c>
    </row>
    <row r="467" spans="1:13" x14ac:dyDescent="0.25">
      <c r="A467" s="7">
        <v>1</v>
      </c>
      <c r="B467" s="4" t="s">
        <v>4</v>
      </c>
      <c r="C467" s="12">
        <v>3</v>
      </c>
      <c r="D467" s="5">
        <f>VLOOKUP(E467,Sheet2!A:C,2,FALSE)</f>
        <v>45</v>
      </c>
      <c r="E467" s="4" t="s">
        <v>512</v>
      </c>
      <c r="F467" s="5">
        <v>5</v>
      </c>
      <c r="G467" s="5" t="str">
        <f t="shared" si="21"/>
        <v/>
      </c>
      <c r="H467" s="9"/>
      <c r="I467" s="9"/>
      <c r="J467" s="4" t="str">
        <f t="shared" si="22"/>
        <v>YES</v>
      </c>
      <c r="K467" s="4" t="s">
        <v>5</v>
      </c>
      <c r="L467" s="6" t="s">
        <v>630</v>
      </c>
      <c r="M467" s="6" t="str">
        <f t="shared" si="23"/>
        <v>'ROM-5' =&gt; array('N'=&gt;'', 'C'=&gt;"Adam and Eve Are Driven out of Eden", 'F'=&gt;'Hebrew-OT-003-Adam-and-Eve-Are-Driven-out-of-Eden'),</v>
      </c>
    </row>
    <row r="468" spans="1:13" x14ac:dyDescent="0.25">
      <c r="A468" s="7">
        <v>1</v>
      </c>
      <c r="B468" s="4" t="s">
        <v>36</v>
      </c>
      <c r="C468" s="12">
        <v>27</v>
      </c>
      <c r="D468" s="5">
        <f>VLOOKUP(E468,Sheet2!A:C,2,FALSE)</f>
        <v>45</v>
      </c>
      <c r="E468" s="4" t="s">
        <v>512</v>
      </c>
      <c r="F468" s="5">
        <v>9</v>
      </c>
      <c r="G468" s="5" t="str">
        <f t="shared" si="21"/>
        <v/>
      </c>
      <c r="H468" s="9"/>
      <c r="I468" s="9">
        <v>2</v>
      </c>
      <c r="J468" s="4" t="str">
        <f t="shared" si="22"/>
        <v>YES</v>
      </c>
      <c r="K468" s="4" t="s">
        <v>37</v>
      </c>
      <c r="L468" s="6" t="s">
        <v>647</v>
      </c>
      <c r="M468" s="6" t="str">
        <f t="shared" si="23"/>
        <v>'ROM-9' =&gt; array('N'=&gt;'2', 'C'=&gt;"Isaac Blesses Jacob", 'F'=&gt;'Hebrew-OT-020-Isaac-Blesses-Jacob'),</v>
      </c>
    </row>
    <row r="469" spans="1:13" x14ac:dyDescent="0.25">
      <c r="A469" s="7">
        <v>23</v>
      </c>
      <c r="B469" s="4" t="s">
        <v>246</v>
      </c>
      <c r="C469" s="12">
        <v>6</v>
      </c>
      <c r="D469" s="5">
        <f>VLOOKUP(E469,Sheet2!A:C,2,FALSE)</f>
        <v>45</v>
      </c>
      <c r="E469" s="4" t="s">
        <v>512</v>
      </c>
      <c r="F469" s="5">
        <v>9</v>
      </c>
      <c r="G469" s="5" t="str">
        <f t="shared" si="21"/>
        <v>MULT</v>
      </c>
      <c r="H469" s="9">
        <v>2</v>
      </c>
      <c r="I469" s="9"/>
      <c r="J469" s="4" t="str">
        <f t="shared" si="22"/>
        <v>YES</v>
      </c>
      <c r="K469" s="4" t="s">
        <v>247</v>
      </c>
      <c r="L469" s="6" t="s">
        <v>749</v>
      </c>
      <c r="M469" s="6" t="str">
        <f t="shared" si="23"/>
        <v>'ROM-9-2' =&gt; array('N'=&gt;'', 'C'=&gt;"The Prophet Isaiah", 'F'=&gt;'Hebrew-OT-110-The-Prophet-Isaiah'),</v>
      </c>
    </row>
    <row r="470" spans="1:13" x14ac:dyDescent="0.25">
      <c r="A470" s="7">
        <v>11</v>
      </c>
      <c r="B470" s="4" t="s">
        <v>176</v>
      </c>
      <c r="C470" s="12">
        <v>19</v>
      </c>
      <c r="D470" s="5">
        <f>VLOOKUP(E470,Sheet2!A:C,2,FALSE)</f>
        <v>45</v>
      </c>
      <c r="E470" s="4" t="s">
        <v>512</v>
      </c>
      <c r="F470" s="5">
        <v>11</v>
      </c>
      <c r="G470" s="5" t="str">
        <f t="shared" si="21"/>
        <v/>
      </c>
      <c r="H470" s="9"/>
      <c r="I470" s="9"/>
      <c r="J470" s="4" t="str">
        <f t="shared" si="22"/>
        <v>YES</v>
      </c>
      <c r="K470" s="4" t="s">
        <v>442</v>
      </c>
      <c r="L470" s="6" t="s">
        <v>720</v>
      </c>
      <c r="M470" s="6" t="str">
        <f t="shared" si="23"/>
        <v>'ROM-11' =&gt; array('N'=&gt;'', 'C'=&gt;"Elijah is Nourished by an Angel", 'F'=&gt;'Hebrew-OT-097-Elijah-is-Nourished-by-an-Angel'),</v>
      </c>
    </row>
    <row r="471" spans="1:13" x14ac:dyDescent="0.25">
      <c r="A471" s="7">
        <v>2</v>
      </c>
      <c r="B471" s="4" t="s">
        <v>75</v>
      </c>
      <c r="C471" s="12">
        <v>32.1</v>
      </c>
      <c r="D471" s="5">
        <f>VLOOKUP(E471,Sheet2!A:C,2,FALSE)</f>
        <v>47</v>
      </c>
      <c r="E471" s="4" t="s">
        <v>514</v>
      </c>
      <c r="F471" s="5">
        <v>3</v>
      </c>
      <c r="G471" s="5" t="str">
        <f t="shared" si="21"/>
        <v/>
      </c>
      <c r="H471" s="9"/>
      <c r="I471" s="9"/>
      <c r="J471" s="4" t="str">
        <f t="shared" si="22"/>
        <v>YES</v>
      </c>
      <c r="K471" s="4" t="s">
        <v>76</v>
      </c>
      <c r="L471" s="6" t="s">
        <v>667</v>
      </c>
      <c r="M471" s="6" t="str">
        <f t="shared" si="23"/>
        <v>'2CO-3' =&gt; array('N'=&gt;'', 'C'=&gt;"Moses Comes Down from Mount Sinai", 'F'=&gt;'Hebrew-OT-040-Moses-Comes-Down-from-Mount-Sinai'),</v>
      </c>
    </row>
    <row r="472" spans="1:13" x14ac:dyDescent="0.25">
      <c r="A472" s="7">
        <v>1</v>
      </c>
      <c r="B472" s="4" t="s">
        <v>0</v>
      </c>
      <c r="C472" s="12">
        <v>1</v>
      </c>
      <c r="D472" s="5">
        <f>VLOOKUP(E472,Sheet2!A:C,2,FALSE)</f>
        <v>47</v>
      </c>
      <c r="E472" s="4" t="s">
        <v>514</v>
      </c>
      <c r="F472" s="5">
        <v>4</v>
      </c>
      <c r="G472" s="5" t="str">
        <f t="shared" si="21"/>
        <v/>
      </c>
      <c r="H472" s="9"/>
      <c r="I472" s="9"/>
      <c r="J472" s="4" t="str">
        <f t="shared" si="22"/>
        <v>YES</v>
      </c>
      <c r="K472" s="4" t="s">
        <v>1</v>
      </c>
      <c r="L472" s="6" t="s">
        <v>628</v>
      </c>
      <c r="M472" s="6" t="str">
        <f t="shared" si="23"/>
        <v>'2CO-4' =&gt; array('N'=&gt;'', 'C'=&gt;"The Creation of Light", 'F'=&gt;'Hebrew-OT-001-The-Creation-of-Light'),</v>
      </c>
    </row>
    <row r="473" spans="1:13" x14ac:dyDescent="0.25">
      <c r="A473" s="7">
        <v>44</v>
      </c>
      <c r="B473" s="4" t="s">
        <v>408</v>
      </c>
      <c r="C473" s="12">
        <v>9</v>
      </c>
      <c r="D473" s="5">
        <f>VLOOKUP(E473,Sheet2!A:C,2,FALSE)</f>
        <v>48</v>
      </c>
      <c r="E473" s="4" t="s">
        <v>515</v>
      </c>
      <c r="F473" s="5">
        <v>1</v>
      </c>
      <c r="G473" s="5" t="str">
        <f t="shared" si="21"/>
        <v/>
      </c>
      <c r="H473" s="9"/>
      <c r="I473" s="9"/>
      <c r="J473" s="4" t="str">
        <f t="shared" si="22"/>
        <v>YES</v>
      </c>
      <c r="K473" s="4" t="s">
        <v>409</v>
      </c>
      <c r="L473" s="6" t="s">
        <v>835</v>
      </c>
      <c r="M473" s="6" t="str">
        <f t="shared" si="23"/>
        <v>'GAL-1' =&gt; array('N'=&gt;'', 'C'=&gt;"The Conversion of Saul", 'F'=&gt;'NT-Gospel-229-The-Conversion-of-Saul'),</v>
      </c>
    </row>
    <row r="474" spans="1:13" x14ac:dyDescent="0.25">
      <c r="A474" s="7">
        <v>1</v>
      </c>
      <c r="B474" s="4" t="s">
        <v>24</v>
      </c>
      <c r="C474" s="12">
        <v>21.1</v>
      </c>
      <c r="D474" s="5">
        <f>VLOOKUP(E474,Sheet2!A:C,2,FALSE)</f>
        <v>48</v>
      </c>
      <c r="E474" s="4" t="s">
        <v>515</v>
      </c>
      <c r="F474" s="5">
        <v>4</v>
      </c>
      <c r="G474" s="5" t="str">
        <f t="shared" si="21"/>
        <v/>
      </c>
      <c r="H474" s="9"/>
      <c r="I474" s="9">
        <v>2</v>
      </c>
      <c r="J474" s="4" t="str">
        <f t="shared" si="22"/>
        <v>YES</v>
      </c>
      <c r="K474" s="4" t="s">
        <v>25</v>
      </c>
      <c r="L474" s="6" t="s">
        <v>641</v>
      </c>
      <c r="M474" s="6" t="str">
        <f t="shared" si="23"/>
        <v>'GAL-4' =&gt; array('N'=&gt;'2', 'C'=&gt;"Abraham Sends Hagar and Ishmael Away", 'F'=&gt;'Hebrew-OT-014-Abraham-Sends-Hagar-and-Ishmael-Away'),</v>
      </c>
    </row>
    <row r="475" spans="1:13" x14ac:dyDescent="0.25">
      <c r="A475" s="7">
        <v>1</v>
      </c>
      <c r="B475" s="4" t="s">
        <v>26</v>
      </c>
      <c r="C475" s="12">
        <v>21.2</v>
      </c>
      <c r="D475" s="5">
        <f>VLOOKUP(E475,Sheet2!A:C,2,FALSE)</f>
        <v>48</v>
      </c>
      <c r="E475" s="4" t="s">
        <v>515</v>
      </c>
      <c r="F475" s="5">
        <v>4</v>
      </c>
      <c r="G475" s="5" t="str">
        <f t="shared" si="21"/>
        <v>MULT</v>
      </c>
      <c r="H475" s="9">
        <v>2</v>
      </c>
      <c r="I475" s="9"/>
      <c r="J475" s="4" t="str">
        <f t="shared" si="22"/>
        <v>YES</v>
      </c>
      <c r="K475" s="4" t="s">
        <v>27</v>
      </c>
      <c r="L475" s="6" t="s">
        <v>642</v>
      </c>
      <c r="M475" s="6" t="str">
        <f t="shared" si="23"/>
        <v>'GAL-4-2' =&gt; array('N'=&gt;'', 'C'=&gt;"Hagar and Ishmael in the Wilderness", 'F'=&gt;'Hebrew-OT-015-Hagar-and-Ishmael-in-the-Wilderness'),</v>
      </c>
    </row>
    <row r="476" spans="1:13" x14ac:dyDescent="0.25">
      <c r="A476" s="7">
        <v>44</v>
      </c>
      <c r="B476" s="4" t="s">
        <v>415</v>
      </c>
      <c r="C476" s="12">
        <v>19</v>
      </c>
      <c r="D476" s="5">
        <f>VLOOKUP(E476,Sheet2!A:C,2,FALSE)</f>
        <v>49</v>
      </c>
      <c r="E476" s="4" t="s">
        <v>516</v>
      </c>
      <c r="F476" s="5">
        <v>1</v>
      </c>
      <c r="G476" s="5" t="str">
        <f t="shared" si="21"/>
        <v/>
      </c>
      <c r="H476" s="9"/>
      <c r="I476" s="9"/>
      <c r="J476" s="4" t="str">
        <f t="shared" si="22"/>
        <v>YES</v>
      </c>
      <c r="K476" s="4" t="s">
        <v>416</v>
      </c>
      <c r="L476" s="6" t="s">
        <v>839</v>
      </c>
      <c r="M476" s="6" t="str">
        <f t="shared" si="23"/>
        <v>'EPH-1' =&gt; array('N'=&gt;'', 'C'=&gt;"Paul Preaches at Ephesus", 'F'=&gt;'NT-Gospel-233-Paul-Preaches-at-Ephesus'),</v>
      </c>
    </row>
    <row r="477" spans="1:13" x14ac:dyDescent="0.25">
      <c r="A477" s="7">
        <v>44</v>
      </c>
      <c r="B477" s="4" t="s">
        <v>413</v>
      </c>
      <c r="C477" s="12">
        <v>17</v>
      </c>
      <c r="D477" s="5">
        <f>VLOOKUP(E477,Sheet2!A:C,2,FALSE)</f>
        <v>52</v>
      </c>
      <c r="E477" s="4" t="s">
        <v>519</v>
      </c>
      <c r="F477" s="5">
        <v>2</v>
      </c>
      <c r="G477" s="5" t="str">
        <f t="shared" si="21"/>
        <v/>
      </c>
      <c r="H477" s="9"/>
      <c r="I477" s="9"/>
      <c r="J477" s="4" t="str">
        <f t="shared" si="22"/>
        <v>YES</v>
      </c>
      <c r="K477" s="4" t="s">
        <v>414</v>
      </c>
      <c r="L477" s="6" t="s">
        <v>838</v>
      </c>
      <c r="M477" s="6" t="str">
        <f t="shared" si="23"/>
        <v>'1TH-2' =&gt; array('N'=&gt;'', 'C'=&gt;"Paul Preaches to the Thessalonians", 'F'=&gt;'NT-Gospel-232-Paul-Preaches-to-the-Thessalonians'),</v>
      </c>
    </row>
    <row r="478" spans="1:13" x14ac:dyDescent="0.25">
      <c r="A478" s="7">
        <v>1</v>
      </c>
      <c r="B478" s="4" t="s">
        <v>4</v>
      </c>
      <c r="C478" s="12">
        <v>3</v>
      </c>
      <c r="D478" s="5">
        <f>VLOOKUP(E478,Sheet2!A:C,2,FALSE)</f>
        <v>54</v>
      </c>
      <c r="E478" s="4" t="s">
        <v>521</v>
      </c>
      <c r="F478" s="5">
        <v>2</v>
      </c>
      <c r="G478" s="5" t="str">
        <f t="shared" si="21"/>
        <v/>
      </c>
      <c r="H478" s="9"/>
      <c r="I478" s="9"/>
      <c r="J478" s="4" t="str">
        <f t="shared" si="22"/>
        <v>YES</v>
      </c>
      <c r="K478" s="4" t="s">
        <v>5</v>
      </c>
      <c r="L478" s="6" t="s">
        <v>630</v>
      </c>
      <c r="M478" s="6" t="str">
        <f t="shared" si="23"/>
        <v>'1TI-2' =&gt; array('N'=&gt;'', 'C'=&gt;"Adam and Eve Are Driven out of Eden", 'F'=&gt;'Hebrew-OT-003-Adam-and-Eve-Are-Driven-out-of-Eden'),</v>
      </c>
    </row>
    <row r="479" spans="1:13" x14ac:dyDescent="0.25">
      <c r="A479" s="7">
        <v>1</v>
      </c>
      <c r="B479" s="4" t="s">
        <v>0</v>
      </c>
      <c r="C479" s="12">
        <v>1</v>
      </c>
      <c r="D479" s="5">
        <f>VLOOKUP(E479,Sheet2!A:C,2,FALSE)</f>
        <v>58</v>
      </c>
      <c r="E479" s="4" t="s">
        <v>525</v>
      </c>
      <c r="F479" s="5">
        <v>11</v>
      </c>
      <c r="G479" s="5" t="str">
        <f t="shared" si="21"/>
        <v/>
      </c>
      <c r="H479" s="9"/>
      <c r="I479" s="9">
        <v>17</v>
      </c>
      <c r="J479" s="4" t="str">
        <f t="shared" si="22"/>
        <v>YES</v>
      </c>
      <c r="K479" s="4" t="s">
        <v>1</v>
      </c>
      <c r="L479" s="6" t="s">
        <v>628</v>
      </c>
      <c r="M479" s="6" t="str">
        <f t="shared" si="23"/>
        <v>'HEB-11' =&gt; array('N'=&gt;'17', 'C'=&gt;"The Creation of Light", 'F'=&gt;'Hebrew-OT-001-The-Creation-of-Light'),</v>
      </c>
    </row>
    <row r="480" spans="1:13" x14ac:dyDescent="0.25">
      <c r="A480" s="7">
        <v>1</v>
      </c>
      <c r="B480" s="4" t="s">
        <v>6</v>
      </c>
      <c r="C480" s="12">
        <v>4.0999999999999996</v>
      </c>
      <c r="D480" s="5">
        <f>VLOOKUP(E480,Sheet2!A:C,2,FALSE)</f>
        <v>58</v>
      </c>
      <c r="E480" s="4" t="s">
        <v>525</v>
      </c>
      <c r="F480" s="5">
        <v>11</v>
      </c>
      <c r="G480" s="5" t="str">
        <f t="shared" si="21"/>
        <v>MULT</v>
      </c>
      <c r="H480" s="9">
        <v>2</v>
      </c>
      <c r="I480" s="9"/>
      <c r="J480" s="4" t="str">
        <f t="shared" si="22"/>
        <v>YES</v>
      </c>
      <c r="K480" s="4" t="s">
        <v>7</v>
      </c>
      <c r="L480" s="6" t="s">
        <v>631</v>
      </c>
      <c r="M480" s="6" t="str">
        <f t="shared" si="23"/>
        <v>'HEB-11-2' =&gt; array('N'=&gt;'', 'C'=&gt;"Cain and Abel Offer Their Sacrifices", 'F'=&gt;'Hebrew-OT-004-Cain-and-Abel-Offer-Their-Sacrifices'),</v>
      </c>
    </row>
    <row r="481" spans="1:13" x14ac:dyDescent="0.25">
      <c r="A481" s="7">
        <v>1</v>
      </c>
      <c r="B481" s="4" t="s">
        <v>8</v>
      </c>
      <c r="C481" s="12">
        <v>4.2</v>
      </c>
      <c r="D481" s="5">
        <f>VLOOKUP(E481,Sheet2!A:C,2,FALSE)</f>
        <v>58</v>
      </c>
      <c r="E481" s="4" t="s">
        <v>525</v>
      </c>
      <c r="F481" s="5">
        <v>11</v>
      </c>
      <c r="G481" s="5" t="str">
        <f t="shared" si="21"/>
        <v>MULT</v>
      </c>
      <c r="H481" s="9">
        <v>3</v>
      </c>
      <c r="I481" s="9"/>
      <c r="J481" s="4" t="str">
        <f t="shared" si="22"/>
        <v>YES</v>
      </c>
      <c r="K481" s="4" t="s">
        <v>9</v>
      </c>
      <c r="L481" s="6" t="s">
        <v>632</v>
      </c>
      <c r="M481" s="6" t="str">
        <f t="shared" si="23"/>
        <v>'HEB-11-3' =&gt; array('N'=&gt;'', 'C'=&gt;"Cain Slays Abel", 'F'=&gt;'Hebrew-OT-005-Cain-Slays-Abel'),</v>
      </c>
    </row>
    <row r="482" spans="1:13" x14ac:dyDescent="0.25">
      <c r="A482" s="7">
        <v>1</v>
      </c>
      <c r="B482" s="4" t="s">
        <v>13</v>
      </c>
      <c r="C482" s="12">
        <v>8</v>
      </c>
      <c r="D482" s="5">
        <f>VLOOKUP(E482,Sheet2!A:C,2,FALSE)</f>
        <v>58</v>
      </c>
      <c r="E482" s="4" t="s">
        <v>525</v>
      </c>
      <c r="F482" s="5">
        <v>11</v>
      </c>
      <c r="G482" s="5" t="str">
        <f t="shared" si="21"/>
        <v>MULT</v>
      </c>
      <c r="H482" s="9">
        <v>4</v>
      </c>
      <c r="I482" s="9"/>
      <c r="J482" s="4" t="str">
        <f t="shared" si="22"/>
        <v>YES</v>
      </c>
      <c r="K482" s="4" t="s">
        <v>437</v>
      </c>
      <c r="L482" s="6" t="s">
        <v>635</v>
      </c>
      <c r="M482" s="6" t="str">
        <f t="shared" si="23"/>
        <v>'HEB-11-4' =&gt; array('N'=&gt;'', 'C'=&gt;"A Dove is Sent Forth from the Ark", 'F'=&gt;'Hebrew-OT-008-A-Dove-is-Sent-Forth-from-the-Ark'),</v>
      </c>
    </row>
    <row r="483" spans="1:13" x14ac:dyDescent="0.25">
      <c r="A483" s="7">
        <v>1</v>
      </c>
      <c r="B483" s="4" t="s">
        <v>18</v>
      </c>
      <c r="C483" s="12">
        <v>12</v>
      </c>
      <c r="D483" s="5">
        <f>VLOOKUP(E483,Sheet2!A:C,2,FALSE)</f>
        <v>58</v>
      </c>
      <c r="E483" s="4" t="s">
        <v>525</v>
      </c>
      <c r="F483" s="5">
        <v>11</v>
      </c>
      <c r="G483" s="5" t="str">
        <f t="shared" si="21"/>
        <v>MULT</v>
      </c>
      <c r="H483" s="9">
        <v>5</v>
      </c>
      <c r="I483" s="9"/>
      <c r="J483" s="4" t="str">
        <f t="shared" si="22"/>
        <v>YES</v>
      </c>
      <c r="K483" s="4" t="s">
        <v>19</v>
      </c>
      <c r="L483" s="6" t="s">
        <v>638</v>
      </c>
      <c r="M483" s="6" t="str">
        <f t="shared" si="23"/>
        <v>'HEB-11-5' =&gt; array('N'=&gt;'', 'C'=&gt;"Abraham Goes to the Land of Canaan", 'F'=&gt;'Hebrew-OT-011-Abraham-Goes-to-the-Land-of-Canaan'),</v>
      </c>
    </row>
    <row r="484" spans="1:13" x14ac:dyDescent="0.25">
      <c r="A484" s="7">
        <v>1</v>
      </c>
      <c r="B484" s="4" t="s">
        <v>28</v>
      </c>
      <c r="C484" s="12">
        <v>22</v>
      </c>
      <c r="D484" s="5">
        <f>VLOOKUP(E484,Sheet2!A:C,2,FALSE)</f>
        <v>58</v>
      </c>
      <c r="E484" s="4" t="s">
        <v>525</v>
      </c>
      <c r="F484" s="5">
        <v>11</v>
      </c>
      <c r="G484" s="5" t="str">
        <f t="shared" si="21"/>
        <v>MULT</v>
      </c>
      <c r="H484" s="9">
        <v>6</v>
      </c>
      <c r="I484" s="9"/>
      <c r="J484" s="4" t="str">
        <f t="shared" si="22"/>
        <v>YES</v>
      </c>
      <c r="K484" s="4" t="s">
        <v>29</v>
      </c>
      <c r="L484" s="6" t="s">
        <v>643</v>
      </c>
      <c r="M484" s="6" t="str">
        <f t="shared" si="23"/>
        <v>'HEB-11-6' =&gt; array('N'=&gt;'', 'C'=&gt;"The Testing of Abraham's Faith", 'F'=&gt;'Hebrew-OT-016-The-Testing-of-Abrahams-Faith'),</v>
      </c>
    </row>
    <row r="485" spans="1:13" x14ac:dyDescent="0.25">
      <c r="A485" s="7">
        <v>1</v>
      </c>
      <c r="B485" s="4" t="s">
        <v>36</v>
      </c>
      <c r="C485" s="12">
        <v>27</v>
      </c>
      <c r="D485" s="5">
        <f>VLOOKUP(E485,Sheet2!A:C,2,FALSE)</f>
        <v>58</v>
      </c>
      <c r="E485" s="4" t="s">
        <v>525</v>
      </c>
      <c r="F485" s="5">
        <v>11</v>
      </c>
      <c r="G485" s="5" t="str">
        <f t="shared" si="21"/>
        <v>MULT</v>
      </c>
      <c r="H485" s="9">
        <v>7</v>
      </c>
      <c r="I485" s="9"/>
      <c r="J485" s="4" t="str">
        <f t="shared" si="22"/>
        <v>YES</v>
      </c>
      <c r="K485" s="4" t="s">
        <v>37</v>
      </c>
      <c r="L485" s="6" t="s">
        <v>647</v>
      </c>
      <c r="M485" s="6" t="str">
        <f t="shared" si="23"/>
        <v>'HEB-11-7' =&gt; array('N'=&gt;'', 'C'=&gt;"Isaac Blesses Jacob", 'F'=&gt;'Hebrew-OT-020-Isaac-Blesses-Jacob'),</v>
      </c>
    </row>
    <row r="486" spans="1:13" x14ac:dyDescent="0.25">
      <c r="A486" s="7">
        <v>1</v>
      </c>
      <c r="B486" s="4" t="s">
        <v>38</v>
      </c>
      <c r="C486" s="12">
        <v>28</v>
      </c>
      <c r="D486" s="5">
        <f>VLOOKUP(E486,Sheet2!A:C,2,FALSE)</f>
        <v>58</v>
      </c>
      <c r="E486" s="4" t="s">
        <v>525</v>
      </c>
      <c r="F486" s="5">
        <v>11</v>
      </c>
      <c r="G486" s="5" t="str">
        <f t="shared" si="21"/>
        <v>MULT</v>
      </c>
      <c r="H486" s="9">
        <v>8</v>
      </c>
      <c r="I486" s="9"/>
      <c r="J486" s="4" t="str">
        <f t="shared" si="22"/>
        <v>YES</v>
      </c>
      <c r="K486" s="4" t="s">
        <v>39</v>
      </c>
      <c r="L486" s="6" t="s">
        <v>648</v>
      </c>
      <c r="M486" s="6" t="str">
        <f t="shared" si="23"/>
        <v>'HEB-11-8' =&gt; array('N'=&gt;'', 'C'=&gt;"Jacob's Dream", 'F'=&gt;'Hebrew-OT-021-Jacobs-Dream'),</v>
      </c>
    </row>
    <row r="487" spans="1:13" x14ac:dyDescent="0.25">
      <c r="A487" s="7">
        <v>2</v>
      </c>
      <c r="B487" s="4" t="s">
        <v>55</v>
      </c>
      <c r="C487" s="12">
        <v>2.1</v>
      </c>
      <c r="D487" s="5">
        <f>VLOOKUP(E487,Sheet2!A:C,2,FALSE)</f>
        <v>58</v>
      </c>
      <c r="E487" s="4" t="s">
        <v>525</v>
      </c>
      <c r="F487" s="5">
        <v>11</v>
      </c>
      <c r="G487" s="5" t="str">
        <f t="shared" si="21"/>
        <v>MULT</v>
      </c>
      <c r="H487" s="9">
        <v>9</v>
      </c>
      <c r="I487" s="9"/>
      <c r="J487" s="4" t="str">
        <f t="shared" si="22"/>
        <v>YES</v>
      </c>
      <c r="K487" s="4" t="s">
        <v>56</v>
      </c>
      <c r="L487" s="6" t="s">
        <v>657</v>
      </c>
      <c r="M487" s="6" t="str">
        <f t="shared" si="23"/>
        <v>'HEB-11-9' =&gt; array('N'=&gt;'', 'C'=&gt;"The Child Moses on the Nile", 'F'=&gt;'Hebrew-OT-030-The-Child-Moses-on-the-Nile'),</v>
      </c>
    </row>
    <row r="488" spans="1:13" x14ac:dyDescent="0.25">
      <c r="A488" s="7">
        <v>2</v>
      </c>
      <c r="B488" s="4" t="s">
        <v>59</v>
      </c>
      <c r="C488" s="12">
        <v>7</v>
      </c>
      <c r="D488" s="5">
        <f>VLOOKUP(E488,Sheet2!A:C,2,FALSE)</f>
        <v>58</v>
      </c>
      <c r="E488" s="4" t="s">
        <v>525</v>
      </c>
      <c r="F488" s="5">
        <v>11</v>
      </c>
      <c r="G488" s="5" t="str">
        <f t="shared" si="21"/>
        <v>MULT</v>
      </c>
      <c r="H488" s="9">
        <v>10</v>
      </c>
      <c r="I488" s="9"/>
      <c r="J488" s="4" t="str">
        <f t="shared" si="22"/>
        <v>YES</v>
      </c>
      <c r="K488" s="4" t="s">
        <v>60</v>
      </c>
      <c r="L488" s="6" t="s">
        <v>659</v>
      </c>
      <c r="M488" s="6" t="str">
        <f t="shared" si="23"/>
        <v>'HEB-11-10' =&gt; array('N'=&gt;'', 'C'=&gt;"Moses and Aaron Appear before Pharaoh", 'F'=&gt;'Hebrew-OT-032-Moses-and-Aaron-Appear-before-Pharaoh'),</v>
      </c>
    </row>
    <row r="489" spans="1:13" x14ac:dyDescent="0.25">
      <c r="A489" s="7">
        <v>2</v>
      </c>
      <c r="B489" s="4" t="s">
        <v>69</v>
      </c>
      <c r="C489" s="12">
        <v>14</v>
      </c>
      <c r="D489" s="5">
        <f>VLOOKUP(E489,Sheet2!A:C,2,FALSE)</f>
        <v>58</v>
      </c>
      <c r="E489" s="4" t="s">
        <v>525</v>
      </c>
      <c r="F489" s="5">
        <v>11</v>
      </c>
      <c r="G489" s="5" t="str">
        <f t="shared" si="21"/>
        <v>MULT</v>
      </c>
      <c r="H489" s="9">
        <v>11</v>
      </c>
      <c r="I489" s="9"/>
      <c r="J489" s="4" t="str">
        <f t="shared" si="22"/>
        <v>YES</v>
      </c>
      <c r="K489" s="4" t="s">
        <v>70</v>
      </c>
      <c r="L489" s="6" t="s">
        <v>664</v>
      </c>
      <c r="M489" s="6" t="str">
        <f t="shared" si="23"/>
        <v>'HEB-11-11' =&gt; array('N'=&gt;'', 'C'=&gt;"The Egyptians Drown in the Sea", 'F'=&gt;'Hebrew-OT-037-The-Egyptians-Drown-in-the-Sea'),</v>
      </c>
    </row>
    <row r="490" spans="1:13" x14ac:dyDescent="0.25">
      <c r="A490" s="7">
        <v>6</v>
      </c>
      <c r="B490" s="4" t="s">
        <v>89</v>
      </c>
      <c r="C490" s="12">
        <v>6.1</v>
      </c>
      <c r="D490" s="5">
        <f>VLOOKUP(E490,Sheet2!A:C,2,FALSE)</f>
        <v>58</v>
      </c>
      <c r="E490" s="4" t="s">
        <v>525</v>
      </c>
      <c r="F490" s="5">
        <v>11</v>
      </c>
      <c r="G490" s="5" t="str">
        <f t="shared" si="21"/>
        <v>MULT</v>
      </c>
      <c r="H490" s="9">
        <v>12</v>
      </c>
      <c r="I490" s="9"/>
      <c r="J490" s="4" t="str">
        <f t="shared" si="22"/>
        <v>YES</v>
      </c>
      <c r="K490" s="4" t="s">
        <v>90</v>
      </c>
      <c r="L490" s="6" t="s">
        <v>674</v>
      </c>
      <c r="M490" s="6" t="str">
        <f t="shared" si="23"/>
        <v>'HEB-11-12' =&gt; array('N'=&gt;'', 'C'=&gt;"The Walls of Jericho Fall Down", 'F'=&gt;'Hebrew-OT-048-The-Walls-of-Jericho-Fall-Down'),</v>
      </c>
    </row>
    <row r="491" spans="1:13" x14ac:dyDescent="0.25">
      <c r="A491" s="7">
        <v>6</v>
      </c>
      <c r="B491" s="4" t="s">
        <v>91</v>
      </c>
      <c r="C491" s="12">
        <v>6.2</v>
      </c>
      <c r="D491" s="5">
        <f>VLOOKUP(E491,Sheet2!A:C,2,FALSE)</f>
        <v>58</v>
      </c>
      <c r="E491" s="4" t="s">
        <v>525</v>
      </c>
      <c r="F491" s="5">
        <v>11</v>
      </c>
      <c r="G491" s="5" t="str">
        <f t="shared" si="21"/>
        <v>MULT</v>
      </c>
      <c r="H491" s="9">
        <v>13</v>
      </c>
      <c r="I491" s="9"/>
      <c r="J491" s="4" t="str">
        <f t="shared" si="22"/>
        <v>YES</v>
      </c>
      <c r="K491" s="4" t="s">
        <v>92</v>
      </c>
      <c r="L491" s="6" t="s">
        <v>675</v>
      </c>
      <c r="M491" s="6" t="str">
        <f t="shared" si="23"/>
        <v>'HEB-11-13' =&gt; array('N'=&gt;'', 'C'=&gt;"Joshua Spares Rahab", 'F'=&gt;'Hebrew-OT-049-Joshua-Spares-Rahab'),</v>
      </c>
    </row>
    <row r="492" spans="1:13" x14ac:dyDescent="0.25">
      <c r="A492" s="7">
        <v>6</v>
      </c>
      <c r="B492" s="4" t="s">
        <v>97</v>
      </c>
      <c r="C492" s="12">
        <v>10.199999999999999</v>
      </c>
      <c r="D492" s="5">
        <f>VLOOKUP(E492,Sheet2!A:C,2,FALSE)</f>
        <v>58</v>
      </c>
      <c r="E492" s="4" t="s">
        <v>525</v>
      </c>
      <c r="F492" s="5">
        <v>11</v>
      </c>
      <c r="G492" s="5" t="str">
        <f t="shared" si="21"/>
        <v>MULT</v>
      </c>
      <c r="H492" s="9">
        <v>14</v>
      </c>
      <c r="I492" s="9"/>
      <c r="J492" s="4" t="str">
        <f t="shared" si="22"/>
        <v>YES</v>
      </c>
      <c r="K492" s="4" t="s">
        <v>98</v>
      </c>
      <c r="L492" s="6" t="s">
        <v>679</v>
      </c>
      <c r="M492" s="6" t="str">
        <f t="shared" si="23"/>
        <v>'HEB-11-14' =&gt; array('N'=&gt;'', 'C'=&gt;"Joshua Commands the Sun to Stand Still", 'F'=&gt;'Hebrew-OT-053-Joshua-Commands-the-Sun-to-Stand-Still'),</v>
      </c>
    </row>
    <row r="493" spans="1:13" x14ac:dyDescent="0.25">
      <c r="A493" s="7">
        <v>7</v>
      </c>
      <c r="B493" s="4" t="s">
        <v>105</v>
      </c>
      <c r="C493" s="12">
        <v>7.1</v>
      </c>
      <c r="D493" s="5">
        <f>VLOOKUP(E493,Sheet2!A:C,2,FALSE)</f>
        <v>58</v>
      </c>
      <c r="E493" s="4" t="s">
        <v>525</v>
      </c>
      <c r="F493" s="5">
        <v>11</v>
      </c>
      <c r="G493" s="5" t="str">
        <f t="shared" si="21"/>
        <v>MULT</v>
      </c>
      <c r="H493" s="9">
        <v>15</v>
      </c>
      <c r="I493" s="9"/>
      <c r="J493" s="4" t="str">
        <f t="shared" si="22"/>
        <v>YES</v>
      </c>
      <c r="K493" s="4" t="s">
        <v>106</v>
      </c>
      <c r="L493" s="6" t="s">
        <v>683</v>
      </c>
      <c r="M493" s="6" t="str">
        <f t="shared" si="23"/>
        <v>'HEB-11-15' =&gt; array('N'=&gt;'', 'C'=&gt;"Gideon Chooses 300 Soldiers", 'F'=&gt;'Hebrew-OT-056-Gideon-Chooses-300-Soldiers'),</v>
      </c>
    </row>
    <row r="494" spans="1:13" x14ac:dyDescent="0.25">
      <c r="A494" s="7">
        <v>7</v>
      </c>
      <c r="B494" s="4" t="s">
        <v>125</v>
      </c>
      <c r="C494" s="12">
        <v>16.3</v>
      </c>
      <c r="D494" s="5">
        <f>VLOOKUP(E494,Sheet2!A:C,2,FALSE)</f>
        <v>58</v>
      </c>
      <c r="E494" s="4" t="s">
        <v>525</v>
      </c>
      <c r="F494" s="5">
        <v>11</v>
      </c>
      <c r="G494" s="5" t="str">
        <f t="shared" si="21"/>
        <v>MULT</v>
      </c>
      <c r="H494" s="9">
        <v>16</v>
      </c>
      <c r="I494" s="9"/>
      <c r="J494" s="4" t="str">
        <f t="shared" si="22"/>
        <v>YES</v>
      </c>
      <c r="K494" s="4" t="s">
        <v>126</v>
      </c>
      <c r="L494" s="6" t="s">
        <v>693</v>
      </c>
      <c r="M494" s="6" t="str">
        <f t="shared" si="23"/>
        <v>'HEB-11-16' =&gt; array('N'=&gt;'', 'C'=&gt;"The Death of Samson", 'F'=&gt;'Hebrew-OT-066-The-Death-of-Samson'),</v>
      </c>
    </row>
    <row r="495" spans="1:13" x14ac:dyDescent="0.25">
      <c r="A495" s="7">
        <v>9</v>
      </c>
      <c r="B495" s="4" t="s">
        <v>142</v>
      </c>
      <c r="C495" s="12">
        <v>17</v>
      </c>
      <c r="D495" s="5">
        <f>VLOOKUP(E495,Sheet2!A:C,2,FALSE)</f>
        <v>58</v>
      </c>
      <c r="E495" s="4" t="s">
        <v>525</v>
      </c>
      <c r="F495" s="5">
        <v>11</v>
      </c>
      <c r="G495" s="5" t="str">
        <f t="shared" si="21"/>
        <v>MULT</v>
      </c>
      <c r="H495" s="9">
        <v>17</v>
      </c>
      <c r="I495" s="9"/>
      <c r="J495" s="4" t="str">
        <f t="shared" si="22"/>
        <v>YES</v>
      </c>
      <c r="K495" s="4" t="s">
        <v>143</v>
      </c>
      <c r="L495" s="6" t="s">
        <v>702</v>
      </c>
      <c r="M495" s="6" t="str">
        <f t="shared" si="23"/>
        <v>'HEB-11-17' =&gt; array('N'=&gt;'', 'C'=&gt;"David Slays Goliath", 'F'=&gt;'Hebrew-OT-075-David-Slays-Goliath'),</v>
      </c>
    </row>
    <row r="496" spans="1:13" x14ac:dyDescent="0.25">
      <c r="A496" s="7">
        <v>1</v>
      </c>
      <c r="B496" s="4" t="s">
        <v>8</v>
      </c>
      <c r="C496" s="12">
        <v>4.2</v>
      </c>
      <c r="D496" s="5">
        <f>VLOOKUP(E496,Sheet2!A:C,2,FALSE)</f>
        <v>58</v>
      </c>
      <c r="E496" s="4" t="s">
        <v>525</v>
      </c>
      <c r="F496" s="5">
        <v>12</v>
      </c>
      <c r="G496" s="5" t="str">
        <f t="shared" si="21"/>
        <v/>
      </c>
      <c r="H496" s="9"/>
      <c r="I496" s="9">
        <v>2</v>
      </c>
      <c r="J496" s="4" t="str">
        <f t="shared" si="22"/>
        <v>YES</v>
      </c>
      <c r="K496" s="4" t="s">
        <v>9</v>
      </c>
      <c r="L496" s="6" t="s">
        <v>632</v>
      </c>
      <c r="M496" s="6" t="str">
        <f t="shared" si="23"/>
        <v>'HEB-12' =&gt; array('N'=&gt;'2', 'C'=&gt;"Cain Slays Abel", 'F'=&gt;'Hebrew-OT-005-Cain-Slays-Abel'),</v>
      </c>
    </row>
    <row r="497" spans="1:13" x14ac:dyDescent="0.25">
      <c r="A497" s="7">
        <v>2</v>
      </c>
      <c r="B497" s="4" t="s">
        <v>73</v>
      </c>
      <c r="C497" s="12">
        <v>19</v>
      </c>
      <c r="D497" s="5">
        <f>VLOOKUP(E497,Sheet2!A:C,2,FALSE)</f>
        <v>58</v>
      </c>
      <c r="E497" s="4" t="s">
        <v>525</v>
      </c>
      <c r="F497" s="5">
        <v>12</v>
      </c>
      <c r="G497" s="5" t="str">
        <f t="shared" si="21"/>
        <v>MULT</v>
      </c>
      <c r="H497" s="9">
        <v>2</v>
      </c>
      <c r="I497" s="9"/>
      <c r="J497" s="4" t="str">
        <f t="shared" si="22"/>
        <v>YES</v>
      </c>
      <c r="K497" s="4" t="s">
        <v>74</v>
      </c>
      <c r="L497" s="6" t="s">
        <v>666</v>
      </c>
      <c r="M497" s="6" t="str">
        <f t="shared" si="23"/>
        <v>'HEB-12-2' =&gt; array('N'=&gt;'', 'C'=&gt;"The Giving of the Law on Mount Sinai", 'F'=&gt;'Hebrew-OT-039-The-Giving-of-the-Law-on-Mount-Sinai'),</v>
      </c>
    </row>
    <row r="498" spans="1:13" x14ac:dyDescent="0.25">
      <c r="A498" s="7">
        <v>1</v>
      </c>
      <c r="B498" s="4" t="s">
        <v>0</v>
      </c>
      <c r="C498" s="12">
        <v>1</v>
      </c>
      <c r="D498" s="5">
        <f>VLOOKUP(E498,Sheet2!A:C,2,FALSE)</f>
        <v>59</v>
      </c>
      <c r="E498" s="4" t="s">
        <v>526</v>
      </c>
      <c r="F498" s="5">
        <v>1</v>
      </c>
      <c r="G498" s="5" t="str">
        <f t="shared" si="21"/>
        <v/>
      </c>
      <c r="H498" s="9"/>
      <c r="I498" s="9"/>
      <c r="J498" s="4" t="str">
        <f t="shared" si="22"/>
        <v>YES</v>
      </c>
      <c r="K498" s="4" t="s">
        <v>1</v>
      </c>
      <c r="L498" s="6" t="s">
        <v>628</v>
      </c>
      <c r="M498" s="6" t="str">
        <f t="shared" si="23"/>
        <v>'JAM-1' =&gt; array('N'=&gt;'', 'C'=&gt;"The Creation of Light", 'F'=&gt;'Hebrew-OT-001-The-Creation-of-Light'),</v>
      </c>
    </row>
    <row r="499" spans="1:13" x14ac:dyDescent="0.25">
      <c r="A499" s="7">
        <v>6</v>
      </c>
      <c r="B499" s="4" t="s">
        <v>91</v>
      </c>
      <c r="C499" s="12">
        <v>6.2</v>
      </c>
      <c r="D499" s="5">
        <f>VLOOKUP(E499,Sheet2!A:C,2,FALSE)</f>
        <v>59</v>
      </c>
      <c r="E499" s="4" t="s">
        <v>526</v>
      </c>
      <c r="F499" s="5">
        <v>2</v>
      </c>
      <c r="G499" s="5" t="str">
        <f t="shared" si="21"/>
        <v/>
      </c>
      <c r="H499" s="9"/>
      <c r="I499" s="9"/>
      <c r="J499" s="4" t="str">
        <f t="shared" si="22"/>
        <v>YES</v>
      </c>
      <c r="K499" s="4" t="s">
        <v>92</v>
      </c>
      <c r="L499" s="6" t="s">
        <v>675</v>
      </c>
      <c r="M499" s="6" t="str">
        <f t="shared" si="23"/>
        <v>'JAM-2' =&gt; array('N'=&gt;'', 'C'=&gt;"Joshua Spares Rahab", 'F'=&gt;'Hebrew-OT-049-Joshua-Spares-Rahab'),</v>
      </c>
    </row>
    <row r="500" spans="1:13" x14ac:dyDescent="0.25">
      <c r="A500" s="7">
        <v>18</v>
      </c>
      <c r="B500" s="4" t="s">
        <v>242</v>
      </c>
      <c r="C500" s="12">
        <v>1</v>
      </c>
      <c r="D500" s="5">
        <f>VLOOKUP(E500,Sheet2!A:C,2,FALSE)</f>
        <v>59</v>
      </c>
      <c r="E500" s="4" t="s">
        <v>526</v>
      </c>
      <c r="F500" s="5">
        <v>3</v>
      </c>
      <c r="G500" s="5" t="str">
        <f t="shared" si="21"/>
        <v/>
      </c>
      <c r="H500" s="9"/>
      <c r="I500" s="9"/>
      <c r="J500" s="4" t="str">
        <f t="shared" si="22"/>
        <v>YES</v>
      </c>
      <c r="K500" s="4" t="s">
        <v>243</v>
      </c>
      <c r="L500" s="6" t="s">
        <v>747</v>
      </c>
      <c r="M500" s="6" t="str">
        <f t="shared" si="23"/>
        <v>'JAM-3' =&gt; array('N'=&gt;'', 'C'=&gt;"Job Hears of His Misfortunes", 'F'=&gt;'Hebrew-OT-136-Job-Hears-of-His-Misfortunes'),</v>
      </c>
    </row>
    <row r="501" spans="1:13" x14ac:dyDescent="0.25">
      <c r="A501" s="7">
        <v>11</v>
      </c>
      <c r="B501" s="4" t="s">
        <v>172</v>
      </c>
      <c r="C501" s="12">
        <v>17</v>
      </c>
      <c r="D501" s="5">
        <f>VLOOKUP(E501,Sheet2!A:C,2,FALSE)</f>
        <v>59</v>
      </c>
      <c r="E501" s="4" t="s">
        <v>526</v>
      </c>
      <c r="F501" s="5">
        <v>5</v>
      </c>
      <c r="G501" s="5" t="str">
        <f t="shared" si="21"/>
        <v/>
      </c>
      <c r="H501" s="9"/>
      <c r="I501" s="9">
        <v>2</v>
      </c>
      <c r="J501" s="4" t="str">
        <f t="shared" si="22"/>
        <v>YES</v>
      </c>
      <c r="K501" s="4" t="s">
        <v>173</v>
      </c>
      <c r="L501" s="6" t="s">
        <v>718</v>
      </c>
      <c r="M501" s="6" t="str">
        <f t="shared" si="23"/>
        <v>'JAM-5' =&gt; array('N'=&gt;'2', 'C'=&gt;"Elijah Raises the Son of the Widow of Zarephath", 'F'=&gt;'Hebrew-OT-095-Elijah-Raises-the-Son-of-the-Widow-of-Zarephath'),</v>
      </c>
    </row>
    <row r="502" spans="1:13" x14ac:dyDescent="0.25">
      <c r="A502" s="7">
        <v>11</v>
      </c>
      <c r="B502" s="4" t="s">
        <v>176</v>
      </c>
      <c r="C502" s="12">
        <v>19</v>
      </c>
      <c r="D502" s="5">
        <f>VLOOKUP(E502,Sheet2!A:C,2,FALSE)</f>
        <v>59</v>
      </c>
      <c r="E502" s="4" t="s">
        <v>526</v>
      </c>
      <c r="F502" s="5">
        <v>5</v>
      </c>
      <c r="G502" s="5" t="str">
        <f t="shared" si="21"/>
        <v>MULT</v>
      </c>
      <c r="H502" s="9">
        <v>2</v>
      </c>
      <c r="I502" s="9"/>
      <c r="J502" s="4" t="str">
        <f t="shared" si="22"/>
        <v>YES</v>
      </c>
      <c r="K502" s="4" t="s">
        <v>442</v>
      </c>
      <c r="L502" s="6" t="s">
        <v>720</v>
      </c>
      <c r="M502" s="6" t="str">
        <f t="shared" si="23"/>
        <v>'JAM-5-2' =&gt; array('N'=&gt;'', 'C'=&gt;"Elijah is Nourished by an Angel", 'F'=&gt;'Hebrew-OT-097-Elijah-is-Nourished-by-an-Angel'),</v>
      </c>
    </row>
    <row r="503" spans="1:13" x14ac:dyDescent="0.25">
      <c r="A503" s="7">
        <v>1</v>
      </c>
      <c r="B503" s="4" t="s">
        <v>13</v>
      </c>
      <c r="C503" s="12">
        <v>8</v>
      </c>
      <c r="D503" s="5">
        <f>VLOOKUP(E503,Sheet2!A:C,2,FALSE)</f>
        <v>60</v>
      </c>
      <c r="E503" s="4" t="s">
        <v>527</v>
      </c>
      <c r="F503" s="5">
        <v>3</v>
      </c>
      <c r="G503" s="5" t="str">
        <f t="shared" si="21"/>
        <v/>
      </c>
      <c r="H503" s="9"/>
      <c r="I503" s="9">
        <v>2</v>
      </c>
      <c r="J503" s="4" t="str">
        <f t="shared" si="22"/>
        <v>YES</v>
      </c>
      <c r="K503" s="4" t="s">
        <v>437</v>
      </c>
      <c r="L503" s="6" t="s">
        <v>635</v>
      </c>
      <c r="M503" s="6" t="str">
        <f t="shared" si="23"/>
        <v>'1PE-3' =&gt; array('N'=&gt;'2', 'C'=&gt;"A Dove is Sent Forth from the Ark", 'F'=&gt;'Hebrew-OT-008-A-Dove-is-Sent-Forth-from-the-Ark'),</v>
      </c>
    </row>
    <row r="504" spans="1:13" x14ac:dyDescent="0.25">
      <c r="A504" s="7">
        <v>1</v>
      </c>
      <c r="B504" s="4" t="s">
        <v>30</v>
      </c>
      <c r="C504" s="12">
        <v>23</v>
      </c>
      <c r="D504" s="5">
        <f>VLOOKUP(E504,Sheet2!A:C,2,FALSE)</f>
        <v>60</v>
      </c>
      <c r="E504" s="4" t="s">
        <v>527</v>
      </c>
      <c r="F504" s="5">
        <v>3</v>
      </c>
      <c r="G504" s="5" t="str">
        <f t="shared" si="21"/>
        <v>MULT</v>
      </c>
      <c r="H504" s="9">
        <v>2</v>
      </c>
      <c r="I504" s="9"/>
      <c r="J504" s="4" t="str">
        <f t="shared" si="22"/>
        <v>YES</v>
      </c>
      <c r="K504" s="4" t="s">
        <v>31</v>
      </c>
      <c r="L504" s="6" t="s">
        <v>644</v>
      </c>
      <c r="M504" s="6" t="str">
        <f t="shared" si="23"/>
        <v>'1PE-3-2' =&gt; array('N'=&gt;'', 'C'=&gt;"The Burial of Sarah", 'F'=&gt;'Hebrew-OT-017-The-Burial-of-Sarah'),</v>
      </c>
    </row>
    <row r="505" spans="1:13" x14ac:dyDescent="0.25">
      <c r="A505" s="7">
        <v>41</v>
      </c>
      <c r="B505" s="4" t="s">
        <v>319</v>
      </c>
      <c r="C505" s="12">
        <v>9</v>
      </c>
      <c r="D505" s="5">
        <f>VLOOKUP(E505,Sheet2!A:C,2,FALSE)</f>
        <v>61</v>
      </c>
      <c r="E505" s="4" t="s">
        <v>528</v>
      </c>
      <c r="F505" s="5">
        <v>1</v>
      </c>
      <c r="G505" s="5" t="str">
        <f t="shared" si="21"/>
        <v/>
      </c>
      <c r="H505" s="9"/>
      <c r="I505" s="9"/>
      <c r="J505" s="4" t="str">
        <f t="shared" si="22"/>
        <v>YES</v>
      </c>
      <c r="K505" s="4" t="s">
        <v>320</v>
      </c>
      <c r="L505" s="6" t="s">
        <v>787</v>
      </c>
      <c r="M505" s="6" t="str">
        <f t="shared" si="23"/>
        <v>'2PE-1' =&gt; array('N'=&gt;'', 'C'=&gt;"The Transfiguration", 'F'=&gt;'NT-Gospel-187-The-Transfiguration'),</v>
      </c>
    </row>
    <row r="506" spans="1:13" x14ac:dyDescent="0.25">
      <c r="A506" s="7">
        <v>1</v>
      </c>
      <c r="B506" s="4" t="s">
        <v>22</v>
      </c>
      <c r="C506" s="12">
        <v>19</v>
      </c>
      <c r="D506" s="5">
        <f>VLOOKUP(E506,Sheet2!A:C,2,FALSE)</f>
        <v>61</v>
      </c>
      <c r="E506" s="4" t="s">
        <v>528</v>
      </c>
      <c r="F506" s="5">
        <v>2</v>
      </c>
      <c r="G506" s="5" t="str">
        <f t="shared" si="21"/>
        <v/>
      </c>
      <c r="H506" s="9"/>
      <c r="I506" s="9">
        <v>2</v>
      </c>
      <c r="J506" s="4" t="str">
        <f t="shared" si="22"/>
        <v>YES</v>
      </c>
      <c r="K506" s="4" t="s">
        <v>23</v>
      </c>
      <c r="L506" s="6" t="s">
        <v>640</v>
      </c>
      <c r="M506" s="6" t="str">
        <f t="shared" si="23"/>
        <v>'2PE-2' =&gt; array('N'=&gt;'2', 'C'=&gt;"Lot Flees as Sodom and Gomorrah Burn", 'F'=&gt;'Hebrew-OT-013-Lot-Flees-as-Sodom-and-Gomorrah-Burn'),</v>
      </c>
    </row>
    <row r="507" spans="1:13" x14ac:dyDescent="0.25">
      <c r="A507" s="7">
        <v>4</v>
      </c>
      <c r="B507" s="4" t="s">
        <v>85</v>
      </c>
      <c r="C507" s="12">
        <v>22</v>
      </c>
      <c r="D507" s="5">
        <f>VLOOKUP(E507,Sheet2!A:C,2,FALSE)</f>
        <v>61</v>
      </c>
      <c r="E507" s="4" t="s">
        <v>528</v>
      </c>
      <c r="F507" s="5">
        <v>2</v>
      </c>
      <c r="G507" s="5" t="str">
        <f t="shared" si="21"/>
        <v>MULT</v>
      </c>
      <c r="H507" s="9">
        <v>2</v>
      </c>
      <c r="I507" s="9"/>
      <c r="J507" s="4" t="str">
        <f t="shared" si="22"/>
        <v>YES</v>
      </c>
      <c r="K507" s="4" t="s">
        <v>86</v>
      </c>
      <c r="L507" s="6" t="s">
        <v>672</v>
      </c>
      <c r="M507" s="6" t="str">
        <f t="shared" si="23"/>
        <v>'2PE-2-2' =&gt; array('N'=&gt;'', 'C'=&gt;"An Angel Appears to Balaam", 'F'=&gt;'Hebrew-OT-045-An-Angel-Appears-to-Balaam'),</v>
      </c>
    </row>
    <row r="508" spans="1:13" x14ac:dyDescent="0.25">
      <c r="A508" s="7">
        <v>1</v>
      </c>
      <c r="B508" s="4" t="s">
        <v>10</v>
      </c>
      <c r="C508" s="12">
        <v>6</v>
      </c>
      <c r="D508" s="5">
        <f>VLOOKUP(E508,Sheet2!A:C,2,FALSE)</f>
        <v>61</v>
      </c>
      <c r="E508" s="4" t="s">
        <v>528</v>
      </c>
      <c r="F508" s="5">
        <v>3</v>
      </c>
      <c r="G508" s="5" t="str">
        <f t="shared" si="21"/>
        <v/>
      </c>
      <c r="H508" s="9"/>
      <c r="I508" s="9">
        <v>2</v>
      </c>
      <c r="J508" s="4" t="str">
        <f t="shared" si="22"/>
        <v>YES</v>
      </c>
      <c r="K508" s="4" t="s">
        <v>436</v>
      </c>
      <c r="L508" s="6" t="s">
        <v>633</v>
      </c>
      <c r="M508" s="6" t="str">
        <f t="shared" si="23"/>
        <v>'2PE-3' =&gt; array('N'=&gt;'2', 'C'=&gt;"The World is Destroyed by Water", 'F'=&gt;'Hebrew-OT-006-The-World-is-Destroyed-by-Water'),</v>
      </c>
    </row>
    <row r="509" spans="1:13" x14ac:dyDescent="0.25">
      <c r="A509" s="7">
        <v>1</v>
      </c>
      <c r="B509" s="4" t="s">
        <v>11</v>
      </c>
      <c r="C509" s="12">
        <v>7</v>
      </c>
      <c r="D509" s="5">
        <f>VLOOKUP(E509,Sheet2!A:C,2,FALSE)</f>
        <v>61</v>
      </c>
      <c r="E509" s="4" t="s">
        <v>528</v>
      </c>
      <c r="F509" s="5">
        <v>3</v>
      </c>
      <c r="G509" s="5" t="str">
        <f t="shared" si="21"/>
        <v>MULT</v>
      </c>
      <c r="H509" s="9">
        <v>2</v>
      </c>
      <c r="I509" s="9"/>
      <c r="J509" s="4" t="str">
        <f t="shared" si="22"/>
        <v>YES</v>
      </c>
      <c r="K509" s="4" t="s">
        <v>12</v>
      </c>
      <c r="L509" s="6" t="s">
        <v>634</v>
      </c>
      <c r="M509" s="6" t="str">
        <f t="shared" si="23"/>
        <v>'2PE-3-2' =&gt; array('N'=&gt;'', 'C'=&gt;"The Great Flood", 'F'=&gt;'Hebrew-OT-007-The-Great-Flood'),</v>
      </c>
    </row>
    <row r="510" spans="1:13" x14ac:dyDescent="0.25">
      <c r="A510" s="7">
        <v>1</v>
      </c>
      <c r="B510" s="4" t="s">
        <v>0</v>
      </c>
      <c r="C510" s="12">
        <v>1</v>
      </c>
      <c r="D510" s="5">
        <f>VLOOKUP(E510,Sheet2!A:C,2,FALSE)</f>
        <v>62</v>
      </c>
      <c r="E510" s="4" t="s">
        <v>529</v>
      </c>
      <c r="F510" s="5">
        <v>1</v>
      </c>
      <c r="G510" s="5" t="str">
        <f t="shared" si="21"/>
        <v/>
      </c>
      <c r="H510" s="9"/>
      <c r="I510" s="9"/>
      <c r="J510" s="4" t="str">
        <f t="shared" si="22"/>
        <v>YES</v>
      </c>
      <c r="K510" s="4" t="s">
        <v>1</v>
      </c>
      <c r="L510" s="6" t="s">
        <v>628</v>
      </c>
      <c r="M510" s="6" t="str">
        <f t="shared" si="23"/>
        <v>'1JO-1' =&gt; array('N'=&gt;'', 'C'=&gt;"The Creation of Light", 'F'=&gt;'Hebrew-OT-001-The-Creation-of-Light'),</v>
      </c>
    </row>
    <row r="511" spans="1:13" x14ac:dyDescent="0.25">
      <c r="A511" s="7">
        <v>4</v>
      </c>
      <c r="B511" s="4" t="s">
        <v>85</v>
      </c>
      <c r="C511" s="12">
        <v>22</v>
      </c>
      <c r="D511" s="5">
        <f>VLOOKUP(E511,Sheet2!A:C,2,FALSE)</f>
        <v>65</v>
      </c>
      <c r="E511" s="4" t="s">
        <v>485</v>
      </c>
      <c r="F511" s="5">
        <v>1</v>
      </c>
      <c r="G511" s="5" t="str">
        <f t="shared" si="21"/>
        <v/>
      </c>
      <c r="H511" s="9"/>
      <c r="I511" s="9"/>
      <c r="J511" s="4" t="str">
        <f t="shared" si="22"/>
        <v>YES</v>
      </c>
      <c r="K511" s="4" t="s">
        <v>86</v>
      </c>
      <c r="L511" s="6" t="s">
        <v>672</v>
      </c>
      <c r="M511" s="6" t="str">
        <f t="shared" si="23"/>
        <v>'JUD-1' =&gt; array('N'=&gt;'', 'C'=&gt;"An Angel Appears to Balaam", 'F'=&gt;'Hebrew-OT-045-An-Angel-Appears-to-Balaam'),</v>
      </c>
    </row>
    <row r="512" spans="1:13" x14ac:dyDescent="0.25">
      <c r="A512" s="7">
        <v>66</v>
      </c>
      <c r="B512" s="4" t="s">
        <v>419</v>
      </c>
      <c r="C512" s="12">
        <v>1</v>
      </c>
      <c r="D512" s="5">
        <f>VLOOKUP(E512,Sheet2!A:C,2,FALSE)</f>
        <v>66</v>
      </c>
      <c r="E512" s="4" t="s">
        <v>493</v>
      </c>
      <c r="F512" s="5">
        <v>1</v>
      </c>
      <c r="G512" s="5" t="str">
        <f t="shared" si="21"/>
        <v/>
      </c>
      <c r="H512" s="9"/>
      <c r="I512" s="9"/>
      <c r="J512" s="4" t="str">
        <f t="shared" si="22"/>
        <v/>
      </c>
      <c r="K512" s="4" t="s">
        <v>420</v>
      </c>
      <c r="L512" s="6" t="s">
        <v>842</v>
      </c>
      <c r="M512" s="6" t="str">
        <f t="shared" si="23"/>
        <v>'REV-1' =&gt; array('N'=&gt;'', 'C'=&gt;"John on Patmos", 'F'=&gt;'NT-Gospel-236-John-on-Patmos'),</v>
      </c>
    </row>
    <row r="513" spans="1:13" x14ac:dyDescent="0.25">
      <c r="A513" s="7">
        <v>4</v>
      </c>
      <c r="B513" s="4" t="s">
        <v>85</v>
      </c>
      <c r="C513" s="12">
        <v>22</v>
      </c>
      <c r="D513" s="5">
        <f>VLOOKUP(E513,Sheet2!A:C,2,FALSE)</f>
        <v>66</v>
      </c>
      <c r="E513" s="4" t="s">
        <v>493</v>
      </c>
      <c r="F513" s="5">
        <v>2</v>
      </c>
      <c r="G513" s="5" t="str">
        <f t="shared" si="21"/>
        <v/>
      </c>
      <c r="H513" s="9"/>
      <c r="I513" s="9"/>
      <c r="J513" s="4" t="str">
        <f t="shared" si="22"/>
        <v>YES</v>
      </c>
      <c r="K513" s="4" t="s">
        <v>86</v>
      </c>
      <c r="L513" s="6" t="s">
        <v>672</v>
      </c>
      <c r="M513" s="6" t="str">
        <f t="shared" si="23"/>
        <v>'REV-2' =&gt; array('N'=&gt;'', 'C'=&gt;"An Angel Appears to Balaam", 'F'=&gt;'Hebrew-OT-045-An-Angel-Appears-to-Balaam'),</v>
      </c>
    </row>
    <row r="514" spans="1:13" x14ac:dyDescent="0.25">
      <c r="A514" s="7">
        <v>66</v>
      </c>
      <c r="B514" s="4" t="s">
        <v>421</v>
      </c>
      <c r="C514" s="12">
        <v>6</v>
      </c>
      <c r="D514" s="5">
        <f>VLOOKUP(E514,Sheet2!A:C,2,FALSE)</f>
        <v>66</v>
      </c>
      <c r="E514" s="4" t="s">
        <v>493</v>
      </c>
      <c r="F514" s="5">
        <v>6</v>
      </c>
      <c r="G514" s="5" t="str">
        <f t="shared" si="21"/>
        <v/>
      </c>
      <c r="H514" s="9"/>
      <c r="I514" s="9"/>
      <c r="J514" s="4" t="str">
        <f t="shared" si="22"/>
        <v/>
      </c>
      <c r="K514" s="4" t="s">
        <v>422</v>
      </c>
      <c r="L514" s="6" t="s">
        <v>843</v>
      </c>
      <c r="M514" s="6" t="str">
        <f t="shared" si="23"/>
        <v>'REV-6' =&gt; array('N'=&gt;'', 'C'=&gt;"The Pale Horse of Death", 'F'=&gt;'NT-Gospel-237-The-Pale-Horse-of-Death'),</v>
      </c>
    </row>
    <row r="515" spans="1:13" x14ac:dyDescent="0.25">
      <c r="A515" s="7">
        <v>66</v>
      </c>
      <c r="B515" s="4" t="s">
        <v>423</v>
      </c>
      <c r="C515" s="12">
        <v>12</v>
      </c>
      <c r="D515" s="5">
        <f>VLOOKUP(E515,Sheet2!A:C,2,FALSE)</f>
        <v>66</v>
      </c>
      <c r="E515" s="4" t="s">
        <v>493</v>
      </c>
      <c r="F515" s="5">
        <v>12</v>
      </c>
      <c r="G515" s="5" t="str">
        <f t="shared" ref="G515:G539" si="24">IF(E515&lt;&gt;E514,"",IF(F515&lt;&gt;F514,"","MULT"))</f>
        <v/>
      </c>
      <c r="H515" s="9"/>
      <c r="I515" s="9"/>
      <c r="J515" s="4" t="str">
        <f t="shared" ref="J515:J539" si="25">IF(A515&lt;&gt;D515,"YES",IF(INT(C515)&lt;&gt;F515,"YES",""))</f>
        <v/>
      </c>
      <c r="K515" s="4" t="s">
        <v>459</v>
      </c>
      <c r="L515" s="6" t="s">
        <v>844</v>
      </c>
      <c r="M515" s="6" t="str">
        <f t="shared" ref="M515:M539" si="26">"'"&amp;E515&amp;"-"&amp;F515&amp;IF(H515="","","-")&amp;H515&amp;"' =&gt; array('N'=&gt;'"&amp;I515&amp;"', 'C'=&gt;"""&amp;K515&amp;""", 'F'=&gt;'"&amp;L515&amp;"'),"</f>
        <v>'REV-12' =&gt; array('N'=&gt;'', 'C'=&gt;"The Virgin is Crowned", 'F'=&gt;'NT-Gospel-238-The-Virgin-is-Crowned'),</v>
      </c>
    </row>
    <row r="516" spans="1:13" x14ac:dyDescent="0.25">
      <c r="A516" s="7">
        <v>66</v>
      </c>
      <c r="B516" s="4" t="s">
        <v>424</v>
      </c>
      <c r="C516" s="12">
        <v>18</v>
      </c>
      <c r="D516" s="5">
        <f>VLOOKUP(E516,Sheet2!A:C,2,FALSE)</f>
        <v>66</v>
      </c>
      <c r="E516" s="4" t="s">
        <v>493</v>
      </c>
      <c r="F516" s="5">
        <v>18</v>
      </c>
      <c r="G516" s="5" t="str">
        <f t="shared" si="24"/>
        <v/>
      </c>
      <c r="H516" s="9"/>
      <c r="I516" s="9"/>
      <c r="J516" s="4" t="str">
        <f t="shared" si="25"/>
        <v/>
      </c>
      <c r="K516" s="4" t="s">
        <v>425</v>
      </c>
      <c r="L516" s="6" t="s">
        <v>845</v>
      </c>
      <c r="M516" s="6" t="str">
        <f t="shared" si="26"/>
        <v>'REV-18' =&gt; array('N'=&gt;'', 'C'=&gt;"Babylon Has Fallen", 'F'=&gt;'NT-Gospel-239-Babylon-Has-Fallen'),</v>
      </c>
    </row>
    <row r="517" spans="1:13" x14ac:dyDescent="0.25">
      <c r="A517" s="7">
        <v>66</v>
      </c>
      <c r="B517" s="4" t="s">
        <v>426</v>
      </c>
      <c r="C517" s="12">
        <v>20</v>
      </c>
      <c r="D517" s="5">
        <f>VLOOKUP(E517,Sheet2!A:C,2,FALSE)</f>
        <v>66</v>
      </c>
      <c r="E517" s="4" t="s">
        <v>493</v>
      </c>
      <c r="F517" s="5">
        <v>20</v>
      </c>
      <c r="G517" s="5" t="str">
        <f t="shared" si="24"/>
        <v/>
      </c>
      <c r="H517" s="9"/>
      <c r="I517" s="9"/>
      <c r="J517" s="4" t="str">
        <f t="shared" si="25"/>
        <v/>
      </c>
      <c r="K517" s="4" t="s">
        <v>427</v>
      </c>
      <c r="L517" s="6" t="s">
        <v>846</v>
      </c>
      <c r="M517" s="6" t="str">
        <f t="shared" si="26"/>
        <v>'REV-20' =&gt; array('N'=&gt;'', 'C'=&gt;"The Last Judgment", 'F'=&gt;'NT-Gospel-240-The-Last-Judgment'),</v>
      </c>
    </row>
    <row r="518" spans="1:13" x14ac:dyDescent="0.25">
      <c r="A518" s="7">
        <v>66</v>
      </c>
      <c r="B518" s="4" t="s">
        <v>428</v>
      </c>
      <c r="C518" s="12">
        <v>21</v>
      </c>
      <c r="D518" s="5">
        <f>VLOOKUP(E518,Sheet2!A:C,2,FALSE)</f>
        <v>66</v>
      </c>
      <c r="E518" s="4" t="s">
        <v>493</v>
      </c>
      <c r="F518" s="5">
        <v>21</v>
      </c>
      <c r="G518" s="5" t="str">
        <f t="shared" si="24"/>
        <v/>
      </c>
      <c r="H518" s="9"/>
      <c r="I518" s="9"/>
      <c r="J518" s="4" t="str">
        <f t="shared" si="25"/>
        <v/>
      </c>
      <c r="K518" s="4" t="s">
        <v>429</v>
      </c>
      <c r="L518" s="6" t="s">
        <v>847</v>
      </c>
      <c r="M518" s="6" t="str">
        <f t="shared" si="26"/>
        <v>'REV-21' =&gt; array('N'=&gt;'', 'C'=&gt;"The New Jerusalem", 'F'=&gt;'NT-Gospel-241-The-New-Jerusalem'),</v>
      </c>
    </row>
    <row r="519" spans="1:13" x14ac:dyDescent="0.25">
      <c r="A519" s="7">
        <v>100</v>
      </c>
      <c r="B519" s="4" t="s">
        <v>598</v>
      </c>
      <c r="C519" s="12"/>
      <c r="D519" s="5">
        <v>100</v>
      </c>
      <c r="E519" s="4" t="s">
        <v>466</v>
      </c>
      <c r="F519" s="5"/>
      <c r="G519" s="5" t="str">
        <f t="shared" si="24"/>
        <v/>
      </c>
      <c r="H519" s="9"/>
      <c r="I519" s="9"/>
      <c r="J519" s="4" t="str">
        <f t="shared" si="25"/>
        <v/>
      </c>
      <c r="K519" s="4" t="s">
        <v>221</v>
      </c>
      <c r="L519" s="6" t="s">
        <v>848</v>
      </c>
      <c r="M519" s="6" t="str">
        <f t="shared" si="26"/>
        <v>'XXX-' =&gt; array('N'=&gt;'', 'C'=&gt;"Tobias and the Angel", 'F'=&gt;'Hebrew-OT-140-Tobias-and-the-Angel'),</v>
      </c>
    </row>
    <row r="520" spans="1:13" x14ac:dyDescent="0.25">
      <c r="A520" s="7">
        <v>100</v>
      </c>
      <c r="B520" s="4" t="s">
        <v>599</v>
      </c>
      <c r="C520" s="12"/>
      <c r="D520" s="5">
        <v>100</v>
      </c>
      <c r="E520" s="4" t="s">
        <v>466</v>
      </c>
      <c r="F520" s="5"/>
      <c r="G520" s="5" t="str">
        <f t="shared" si="24"/>
        <v>MULT</v>
      </c>
      <c r="H520" s="9"/>
      <c r="I520" s="9"/>
      <c r="J520" s="4" t="str">
        <f t="shared" si="25"/>
        <v/>
      </c>
      <c r="K520" s="4" t="s">
        <v>222</v>
      </c>
      <c r="L520" s="6" t="s">
        <v>849</v>
      </c>
      <c r="M520" s="6" t="str">
        <f t="shared" si="26"/>
        <v>'XXX-' =&gt; array('N'=&gt;'', 'C'=&gt;"The Angel Raphael and the Family of Tobit", 'F'=&gt;'Hebrew-OT-141-The-Angel-Raphael-and-the-Family-of-Tobit'),</v>
      </c>
    </row>
    <row r="521" spans="1:13" x14ac:dyDescent="0.25">
      <c r="A521" s="7">
        <v>100</v>
      </c>
      <c r="B521" s="4" t="s">
        <v>600</v>
      </c>
      <c r="C521" s="12"/>
      <c r="D521" s="5">
        <v>100</v>
      </c>
      <c r="E521" s="4" t="s">
        <v>466</v>
      </c>
      <c r="F521" s="5"/>
      <c r="G521" s="5" t="str">
        <f t="shared" si="24"/>
        <v>MULT</v>
      </c>
      <c r="H521" s="9"/>
      <c r="I521" s="9"/>
      <c r="J521" s="4" t="str">
        <f t="shared" si="25"/>
        <v/>
      </c>
      <c r="K521" s="4" t="s">
        <v>223</v>
      </c>
      <c r="L521" s="6" t="s">
        <v>850</v>
      </c>
      <c r="M521" s="6" t="str">
        <f t="shared" si="26"/>
        <v>'XXX-' =&gt; array('N'=&gt;'', 'C'=&gt;"Judith and Holofernes", 'F'=&gt;'Hebrew-OT-142-Judith-and-Holofernes'),</v>
      </c>
    </row>
    <row r="522" spans="1:13" x14ac:dyDescent="0.25">
      <c r="A522" s="7">
        <v>100</v>
      </c>
      <c r="B522" s="4" t="s">
        <v>601</v>
      </c>
      <c r="C522" s="12"/>
      <c r="D522" s="5">
        <v>100</v>
      </c>
      <c r="E522" s="4" t="s">
        <v>466</v>
      </c>
      <c r="F522" s="5"/>
      <c r="G522" s="5" t="str">
        <f t="shared" si="24"/>
        <v>MULT</v>
      </c>
      <c r="H522" s="9"/>
      <c r="I522" s="9"/>
      <c r="J522" s="4" t="str">
        <f t="shared" si="25"/>
        <v/>
      </c>
      <c r="K522" s="4" t="s">
        <v>224</v>
      </c>
      <c r="L522" s="6" t="s">
        <v>851</v>
      </c>
      <c r="M522" s="6" t="str">
        <f t="shared" si="26"/>
        <v>'XXX-' =&gt; array('N'=&gt;'', 'C'=&gt;"Judith Shows the Head of Holofernes", 'F'=&gt;'Hebrew-OT-143-Judith-Shows-the-Head-of-Holofernes'),</v>
      </c>
    </row>
    <row r="523" spans="1:13" x14ac:dyDescent="0.25">
      <c r="A523" s="7">
        <v>100</v>
      </c>
      <c r="B523" s="4" t="s">
        <v>602</v>
      </c>
      <c r="C523" s="12"/>
      <c r="D523" s="5">
        <v>100</v>
      </c>
      <c r="E523" s="4" t="s">
        <v>466</v>
      </c>
      <c r="F523" s="5"/>
      <c r="G523" s="5" t="str">
        <f t="shared" si="24"/>
        <v>MULT</v>
      </c>
      <c r="H523" s="9"/>
      <c r="I523" s="9"/>
      <c r="J523" s="4" t="str">
        <f t="shared" si="25"/>
        <v/>
      </c>
      <c r="K523" s="4" t="s">
        <v>231</v>
      </c>
      <c r="L523" s="6" t="s">
        <v>852</v>
      </c>
      <c r="M523" s="6" t="str">
        <f t="shared" si="26"/>
        <v>'XXX-' =&gt; array('N'=&gt;'', 'C'=&gt;"Esther Before the King", 'F'=&gt;'Hebrew-OT-144-Esther-Before-the-King'),</v>
      </c>
    </row>
    <row r="524" spans="1:13" x14ac:dyDescent="0.25">
      <c r="A524" s="7">
        <v>100</v>
      </c>
      <c r="B524" s="4" t="s">
        <v>603</v>
      </c>
      <c r="C524" s="12"/>
      <c r="D524" s="5">
        <v>100</v>
      </c>
      <c r="E524" s="4" t="s">
        <v>466</v>
      </c>
      <c r="F524" s="5"/>
      <c r="G524" s="5" t="str">
        <f t="shared" si="24"/>
        <v>MULT</v>
      </c>
      <c r="H524" s="9"/>
      <c r="I524" s="9"/>
      <c r="J524" s="4" t="str">
        <f t="shared" si="25"/>
        <v/>
      </c>
      <c r="K524" s="4" t="s">
        <v>258</v>
      </c>
      <c r="L524" s="6" t="s">
        <v>853</v>
      </c>
      <c r="M524" s="6" t="str">
        <f t="shared" si="26"/>
        <v>'XXX-' =&gt; array('N'=&gt;'', 'C'=&gt;"Baruch", 'F'=&gt;'Hebrew-OT-145-Baruch'),</v>
      </c>
    </row>
    <row r="525" spans="1:13" x14ac:dyDescent="0.25">
      <c r="A525" s="7">
        <v>100</v>
      </c>
      <c r="B525" s="4" t="s">
        <v>604</v>
      </c>
      <c r="C525" s="12"/>
      <c r="D525" s="5">
        <v>100</v>
      </c>
      <c r="E525" s="4" t="s">
        <v>466</v>
      </c>
      <c r="F525" s="5"/>
      <c r="G525" s="5" t="str">
        <f t="shared" si="24"/>
        <v>MULT</v>
      </c>
      <c r="H525" s="9"/>
      <c r="I525" s="9"/>
      <c r="J525" s="4" t="str">
        <f t="shared" si="25"/>
        <v/>
      </c>
      <c r="K525" s="4" t="s">
        <v>271</v>
      </c>
      <c r="L525" s="6" t="s">
        <v>854</v>
      </c>
      <c r="M525" s="6" t="str">
        <f t="shared" si="26"/>
        <v>'XXX-' =&gt; array('N'=&gt;'', 'C'=&gt;"Susanna in the Bath", 'F'=&gt;'Hebrew-OT-146-Susanna-in-the-Bath'),</v>
      </c>
    </row>
    <row r="526" spans="1:13" x14ac:dyDescent="0.25">
      <c r="A526" s="7">
        <v>100</v>
      </c>
      <c r="B526" s="4" t="s">
        <v>605</v>
      </c>
      <c r="C526" s="12"/>
      <c r="D526" s="5">
        <v>100</v>
      </c>
      <c r="E526" s="4" t="s">
        <v>466</v>
      </c>
      <c r="F526" s="5"/>
      <c r="G526" s="5" t="str">
        <f t="shared" si="24"/>
        <v>MULT</v>
      </c>
      <c r="H526" s="9"/>
      <c r="I526" s="9"/>
      <c r="J526" s="4" t="str">
        <f t="shared" si="25"/>
        <v/>
      </c>
      <c r="K526" s="4" t="s">
        <v>272</v>
      </c>
      <c r="L526" s="6" t="s">
        <v>855</v>
      </c>
      <c r="M526" s="6" t="str">
        <f t="shared" si="26"/>
        <v>'XXX-' =&gt; array('N'=&gt;'', 'C'=&gt;"The Justification of Susanna", 'F'=&gt;'Hebrew-OT-147-The-Justification-of-Susanna'),</v>
      </c>
    </row>
    <row r="527" spans="1:13" x14ac:dyDescent="0.25">
      <c r="A527" s="7">
        <v>100</v>
      </c>
      <c r="B527" s="4" t="s">
        <v>606</v>
      </c>
      <c r="C527" s="12"/>
      <c r="D527" s="5">
        <v>100</v>
      </c>
      <c r="E527" s="4" t="s">
        <v>466</v>
      </c>
      <c r="F527" s="5"/>
      <c r="G527" s="5" t="str">
        <f t="shared" si="24"/>
        <v>MULT</v>
      </c>
      <c r="H527" s="9"/>
      <c r="I527" s="9"/>
      <c r="J527" s="4" t="str">
        <f t="shared" si="25"/>
        <v/>
      </c>
      <c r="K527" s="4" t="s">
        <v>273</v>
      </c>
      <c r="L527" s="6" t="s">
        <v>856</v>
      </c>
      <c r="M527" s="6" t="str">
        <f t="shared" si="26"/>
        <v>'XXX-' =&gt; array('N'=&gt;'', 'C'=&gt;"Daniel Confounds the Priests of Bel", 'F'=&gt;'Hebrew-OT-148-Daniel-Confounds-the-Priests-of-Bel'),</v>
      </c>
    </row>
    <row r="528" spans="1:13" x14ac:dyDescent="0.25">
      <c r="A528" s="7">
        <v>100</v>
      </c>
      <c r="B528" s="4" t="s">
        <v>607</v>
      </c>
      <c r="C528" s="12"/>
      <c r="D528" s="5">
        <v>100</v>
      </c>
      <c r="E528" s="4" t="s">
        <v>466</v>
      </c>
      <c r="F528" s="5"/>
      <c r="G528" s="5" t="str">
        <f t="shared" si="24"/>
        <v>MULT</v>
      </c>
      <c r="H528" s="9"/>
      <c r="I528" s="9"/>
      <c r="J528" s="4" t="str">
        <f t="shared" si="25"/>
        <v/>
      </c>
      <c r="K528" s="4" t="s">
        <v>232</v>
      </c>
      <c r="L528" s="6" t="s">
        <v>857</v>
      </c>
      <c r="M528" s="6" t="str">
        <f t="shared" si="26"/>
        <v>'XXX-' =&gt; array('N'=&gt;'', 'C'=&gt;"Mattathias and the Apostate", 'F'=&gt;'Hebrew-OT-149-Mattathias-and-the-Apostate'),</v>
      </c>
    </row>
    <row r="529" spans="1:13" x14ac:dyDescent="0.25">
      <c r="A529" s="7">
        <v>100</v>
      </c>
      <c r="B529" s="4" t="s">
        <v>608</v>
      </c>
      <c r="C529" s="12"/>
      <c r="D529" s="5">
        <v>100</v>
      </c>
      <c r="E529" s="4" t="s">
        <v>466</v>
      </c>
      <c r="F529" s="5"/>
      <c r="G529" s="5" t="str">
        <f t="shared" si="24"/>
        <v>MULT</v>
      </c>
      <c r="H529" s="9"/>
      <c r="I529" s="9"/>
      <c r="J529" s="4" t="str">
        <f t="shared" si="25"/>
        <v/>
      </c>
      <c r="K529" s="4" t="s">
        <v>233</v>
      </c>
      <c r="L529" s="6" t="s">
        <v>858</v>
      </c>
      <c r="M529" s="6" t="str">
        <f t="shared" si="26"/>
        <v>'XXX-' =&gt; array('N'=&gt;'', 'C'=&gt;"Mattathias Appeals to the Jewish Refugees", 'F'=&gt;'Hebrew-OT-150-Mattathias-Appeals-to-the-Jewish-Refugees'),</v>
      </c>
    </row>
    <row r="530" spans="1:13" x14ac:dyDescent="0.25">
      <c r="A530" s="7">
        <v>100</v>
      </c>
      <c r="B530" s="4" t="s">
        <v>609</v>
      </c>
      <c r="C530" s="12"/>
      <c r="D530" s="5">
        <v>100</v>
      </c>
      <c r="E530" s="4" t="s">
        <v>466</v>
      </c>
      <c r="F530" s="5"/>
      <c r="G530" s="5" t="str">
        <f t="shared" si="24"/>
        <v>MULT</v>
      </c>
      <c r="H530" s="9"/>
      <c r="I530" s="9"/>
      <c r="J530" s="4" t="str">
        <f t="shared" si="25"/>
        <v/>
      </c>
      <c r="K530" s="4" t="s">
        <v>234</v>
      </c>
      <c r="L530" s="6" t="s">
        <v>859</v>
      </c>
      <c r="M530" s="6" t="str">
        <f t="shared" si="26"/>
        <v>'XXX-' =&gt; array('N'=&gt;'', 'C'=&gt;"Judas Maccabeus Pursues Timotheus", 'F'=&gt;'Hebrew-OT-151-Judas-Maccabeus-Pursues-Timotheus'),</v>
      </c>
    </row>
    <row r="531" spans="1:13" x14ac:dyDescent="0.25">
      <c r="A531" s="7">
        <v>100</v>
      </c>
      <c r="B531" s="4" t="s">
        <v>610</v>
      </c>
      <c r="C531" s="12"/>
      <c r="D531" s="5">
        <v>100</v>
      </c>
      <c r="E531" s="4" t="s">
        <v>466</v>
      </c>
      <c r="F531" s="5"/>
      <c r="G531" s="5" t="str">
        <f t="shared" si="24"/>
        <v>MULT</v>
      </c>
      <c r="H531" s="9"/>
      <c r="I531" s="9"/>
      <c r="J531" s="4" t="str">
        <f t="shared" si="25"/>
        <v/>
      </c>
      <c r="K531" s="4" t="s">
        <v>235</v>
      </c>
      <c r="L531" s="6" t="s">
        <v>860</v>
      </c>
      <c r="M531" s="6" t="str">
        <f t="shared" si="26"/>
        <v>'XXX-' =&gt; array('N'=&gt;'', 'C'=&gt;"The Death of Eleazar", 'F'=&gt;'Hebrew-OT-152-The-Death-of-Eleazar'),</v>
      </c>
    </row>
    <row r="532" spans="1:13" x14ac:dyDescent="0.25">
      <c r="A532" s="7">
        <v>100</v>
      </c>
      <c r="B532" s="4" t="s">
        <v>611</v>
      </c>
      <c r="C532" s="12"/>
      <c r="D532" s="5">
        <v>100</v>
      </c>
      <c r="E532" s="4" t="s">
        <v>466</v>
      </c>
      <c r="F532" s="5"/>
      <c r="G532" s="5" t="str">
        <f t="shared" si="24"/>
        <v>MULT</v>
      </c>
      <c r="H532" s="9"/>
      <c r="I532" s="9"/>
      <c r="J532" s="4" t="str">
        <f t="shared" si="25"/>
        <v/>
      </c>
      <c r="K532" s="4" t="s">
        <v>236</v>
      </c>
      <c r="L532" s="6" t="s">
        <v>861</v>
      </c>
      <c r="M532" s="6" t="str">
        <f t="shared" si="26"/>
        <v>'XXX-' =&gt; array('N'=&gt;'', 'C'=&gt;"Jonathan Destroys the Temple of Dagon", 'F'=&gt;'Hebrew-OT-153-Jonathan-Destroys-the-Temple-of-Dagon'),</v>
      </c>
    </row>
    <row r="533" spans="1:13" x14ac:dyDescent="0.25">
      <c r="A533" s="7">
        <v>100</v>
      </c>
      <c r="B533" s="4" t="s">
        <v>612</v>
      </c>
      <c r="C533" s="12"/>
      <c r="D533" s="5">
        <v>100</v>
      </c>
      <c r="E533" s="4" t="s">
        <v>466</v>
      </c>
      <c r="F533" s="5"/>
      <c r="G533" s="5" t="str">
        <f t="shared" si="24"/>
        <v>MULT</v>
      </c>
      <c r="H533" s="9"/>
      <c r="I533" s="9"/>
      <c r="J533" s="4" t="str">
        <f t="shared" si="25"/>
        <v/>
      </c>
      <c r="K533" s="4" t="s">
        <v>445</v>
      </c>
      <c r="L533" s="6" t="s">
        <v>862</v>
      </c>
      <c r="M533" s="6" t="str">
        <f t="shared" si="26"/>
        <v>'XXX-' =&gt; array('N'=&gt;'', 'C'=&gt;"Heliodorus is Cast Down", 'F'=&gt;'Hebrew-OT-154-Heliodorus-is-Cast-Down'),</v>
      </c>
    </row>
    <row r="534" spans="1:13" x14ac:dyDescent="0.25">
      <c r="A534" s="7">
        <v>100</v>
      </c>
      <c r="B534" s="4" t="s">
        <v>613</v>
      </c>
      <c r="C534" s="12"/>
      <c r="D534" s="5">
        <v>100</v>
      </c>
      <c r="E534" s="4" t="s">
        <v>466</v>
      </c>
      <c r="F534" s="5"/>
      <c r="G534" s="5" t="str">
        <f t="shared" si="24"/>
        <v>MULT</v>
      </c>
      <c r="H534" s="9"/>
      <c r="I534" s="9"/>
      <c r="J534" s="4" t="str">
        <f t="shared" si="25"/>
        <v/>
      </c>
      <c r="K534" s="4" t="s">
        <v>237</v>
      </c>
      <c r="L534" s="6" t="s">
        <v>863</v>
      </c>
      <c r="M534" s="6" t="str">
        <f t="shared" si="26"/>
        <v>'XXX-' =&gt; array('N'=&gt;'', 'C'=&gt;"The Army Appears in the Heavens", 'F'=&gt;'Hebrew-OT-155-The-Army-Appears-in-the-Heavens'),</v>
      </c>
    </row>
    <row r="535" spans="1:13" x14ac:dyDescent="0.25">
      <c r="A535" s="7">
        <v>100</v>
      </c>
      <c r="B535" s="4" t="s">
        <v>614</v>
      </c>
      <c r="C535" s="12"/>
      <c r="D535" s="5">
        <v>100</v>
      </c>
      <c r="E535" s="4" t="s">
        <v>466</v>
      </c>
      <c r="F535" s="5"/>
      <c r="G535" s="5" t="str">
        <f t="shared" si="24"/>
        <v>MULT</v>
      </c>
      <c r="H535" s="9"/>
      <c r="I535" s="9"/>
      <c r="J535" s="4" t="str">
        <f t="shared" si="25"/>
        <v/>
      </c>
      <c r="K535" s="4" t="s">
        <v>238</v>
      </c>
      <c r="L535" s="6" t="s">
        <v>864</v>
      </c>
      <c r="M535" s="6" t="str">
        <f t="shared" si="26"/>
        <v>'XXX-' =&gt; array('N'=&gt;'', 'C'=&gt;"The Martyrdom of Eleazar the Scribe", 'F'=&gt;'Hebrew-OT-156-The-Martyrdom-of-Eleazar-the-Scribe'),</v>
      </c>
    </row>
    <row r="536" spans="1:13" x14ac:dyDescent="0.25">
      <c r="A536" s="7">
        <v>100</v>
      </c>
      <c r="B536" s="4" t="s">
        <v>615</v>
      </c>
      <c r="C536" s="12"/>
      <c r="D536" s="5">
        <v>100</v>
      </c>
      <c r="E536" s="4" t="s">
        <v>466</v>
      </c>
      <c r="F536" s="5"/>
      <c r="G536" s="5" t="str">
        <f t="shared" si="24"/>
        <v>MULT</v>
      </c>
      <c r="H536" s="9"/>
      <c r="I536" s="9"/>
      <c r="J536" s="4" t="str">
        <f t="shared" si="25"/>
        <v/>
      </c>
      <c r="K536" s="4" t="s">
        <v>239</v>
      </c>
      <c r="L536" s="6" t="s">
        <v>865</v>
      </c>
      <c r="M536" s="6" t="str">
        <f t="shared" si="26"/>
        <v>'XXX-' =&gt; array('N'=&gt;'', 'C'=&gt;"The Courage of a Mother", 'F'=&gt;'Hebrew-OT-157-The-Courage-of-a-Mother'),</v>
      </c>
    </row>
    <row r="537" spans="1:13" x14ac:dyDescent="0.25">
      <c r="A537" s="7">
        <v>100</v>
      </c>
      <c r="B537" s="4" t="s">
        <v>616</v>
      </c>
      <c r="C537" s="12"/>
      <c r="D537" s="5">
        <v>100</v>
      </c>
      <c r="E537" s="4" t="s">
        <v>466</v>
      </c>
      <c r="F537" s="5"/>
      <c r="G537" s="5" t="str">
        <f t="shared" si="24"/>
        <v>MULT</v>
      </c>
      <c r="H537" s="9"/>
      <c r="I537" s="9"/>
      <c r="J537" s="4" t="str">
        <f t="shared" si="25"/>
        <v/>
      </c>
      <c r="K537" s="4" t="s">
        <v>240</v>
      </c>
      <c r="L537" s="6" t="s">
        <v>866</v>
      </c>
      <c r="M537" s="6" t="str">
        <f t="shared" si="26"/>
        <v>'XXX-' =&gt; array('N'=&gt;'', 'C'=&gt;"The Punishment of Antiochus", 'F'=&gt;'Hebrew-OT-158-The-Punishment-of-Antiochus'),</v>
      </c>
    </row>
    <row r="538" spans="1:13" x14ac:dyDescent="0.25">
      <c r="A538" s="7">
        <v>100</v>
      </c>
      <c r="B538" s="4" t="s">
        <v>617</v>
      </c>
      <c r="C538" s="12"/>
      <c r="D538" s="5">
        <v>100</v>
      </c>
      <c r="E538" s="4" t="s">
        <v>466</v>
      </c>
      <c r="F538" s="5"/>
      <c r="G538" s="5" t="str">
        <f t="shared" si="24"/>
        <v>MULT</v>
      </c>
      <c r="H538" s="9"/>
      <c r="I538" s="9"/>
      <c r="J538" s="4" t="str">
        <f t="shared" si="25"/>
        <v/>
      </c>
      <c r="K538" s="4" t="s">
        <v>446</v>
      </c>
      <c r="L538" s="6" t="s">
        <v>867</v>
      </c>
      <c r="M538" s="6" t="str">
        <f t="shared" si="26"/>
        <v>'XXX-' =&gt; array('N'=&gt;'', 'C'=&gt;"The Angel is Sent to Deliver Israel", 'F'=&gt;'Hebrew-OT-159-The-Angel-is-Sent-to-Deliver-Israel'),</v>
      </c>
    </row>
    <row r="539" spans="1:13" x14ac:dyDescent="0.25">
      <c r="A539" s="7">
        <v>100</v>
      </c>
      <c r="B539" s="4" t="s">
        <v>618</v>
      </c>
      <c r="C539" s="12"/>
      <c r="D539" s="5">
        <v>100</v>
      </c>
      <c r="E539" s="4" t="s">
        <v>466</v>
      </c>
      <c r="F539" s="5"/>
      <c r="G539" s="5" t="str">
        <f t="shared" si="24"/>
        <v>MULT</v>
      </c>
      <c r="H539" s="9"/>
      <c r="I539" s="9"/>
      <c r="J539" s="4" t="str">
        <f t="shared" si="25"/>
        <v/>
      </c>
      <c r="K539" s="4" t="s">
        <v>241</v>
      </c>
      <c r="L539" s="6" t="s">
        <v>868</v>
      </c>
      <c r="M539" s="6" t="str">
        <f t="shared" si="26"/>
        <v>'XXX-' =&gt; array('N'=&gt;'', 'C'=&gt;"Judas Maccabeus before the Army of Nicanor", 'F'=&gt;'Hebrew-OT-160-Judas-Maccabeus-before-the-Army-of-Nicanor'),</v>
      </c>
    </row>
  </sheetData>
  <sortState ref="A2:M539">
    <sortCondition ref="D2:D539"/>
    <sortCondition ref="F2:F539"/>
    <sortCondition ref="L2:L539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6"/>
  <sheetViews>
    <sheetView topLeftCell="A34" workbookViewId="0">
      <selection activeCell="B15" sqref="B15"/>
    </sheetView>
  </sheetViews>
  <sheetFormatPr defaultRowHeight="15" x14ac:dyDescent="0.25"/>
  <cols>
    <col min="1" max="1" width="18.140625" customWidth="1"/>
    <col min="2" max="2" width="15.85546875" style="1" customWidth="1"/>
    <col min="3" max="3" width="25.7109375" customWidth="1"/>
  </cols>
  <sheetData>
    <row r="1" spans="1:3" x14ac:dyDescent="0.25">
      <c r="A1" t="s">
        <v>478</v>
      </c>
      <c r="B1" s="1">
        <v>1</v>
      </c>
      <c r="C1" t="s">
        <v>532</v>
      </c>
    </row>
    <row r="2" spans="1:3" x14ac:dyDescent="0.25">
      <c r="A2" t="s">
        <v>475</v>
      </c>
      <c r="B2" s="1">
        <v>2</v>
      </c>
      <c r="C2" t="s">
        <v>533</v>
      </c>
    </row>
    <row r="3" spans="1:3" x14ac:dyDescent="0.25">
      <c r="A3" t="s">
        <v>497</v>
      </c>
      <c r="B3" s="1">
        <v>3</v>
      </c>
      <c r="C3" t="s">
        <v>534</v>
      </c>
    </row>
    <row r="4" spans="1:3" x14ac:dyDescent="0.25">
      <c r="A4" t="s">
        <v>492</v>
      </c>
      <c r="B4" s="1">
        <v>4</v>
      </c>
      <c r="C4" t="s">
        <v>535</v>
      </c>
    </row>
    <row r="5" spans="1:3" x14ac:dyDescent="0.25">
      <c r="A5" t="s">
        <v>498</v>
      </c>
      <c r="B5" s="1">
        <v>5</v>
      </c>
      <c r="C5" t="s">
        <v>536</v>
      </c>
    </row>
    <row r="6" spans="1:3" x14ac:dyDescent="0.25">
      <c r="A6" t="s">
        <v>484</v>
      </c>
      <c r="B6" s="1">
        <v>6</v>
      </c>
      <c r="C6" t="s">
        <v>537</v>
      </c>
    </row>
    <row r="7" spans="1:3" x14ac:dyDescent="0.25">
      <c r="A7" t="s">
        <v>486</v>
      </c>
      <c r="B7" s="1">
        <v>7</v>
      </c>
      <c r="C7" t="s">
        <v>538</v>
      </c>
    </row>
    <row r="8" spans="1:3" x14ac:dyDescent="0.25">
      <c r="A8" t="s">
        <v>494</v>
      </c>
      <c r="B8" s="1">
        <v>8</v>
      </c>
      <c r="C8" t="s">
        <v>539</v>
      </c>
    </row>
    <row r="9" spans="1:3" x14ac:dyDescent="0.25">
      <c r="A9" t="s">
        <v>467</v>
      </c>
      <c r="B9" s="1">
        <v>9</v>
      </c>
      <c r="C9" t="s">
        <v>540</v>
      </c>
    </row>
    <row r="10" spans="1:3" x14ac:dyDescent="0.25">
      <c r="A10" t="s">
        <v>470</v>
      </c>
      <c r="B10" s="1">
        <v>10</v>
      </c>
      <c r="C10" t="s">
        <v>541</v>
      </c>
    </row>
    <row r="11" spans="1:3" x14ac:dyDescent="0.25">
      <c r="A11" t="s">
        <v>465</v>
      </c>
      <c r="B11" s="1">
        <v>11</v>
      </c>
      <c r="C11" t="s">
        <v>542</v>
      </c>
    </row>
    <row r="12" spans="1:3" x14ac:dyDescent="0.25">
      <c r="A12" t="s">
        <v>469</v>
      </c>
      <c r="B12" s="1">
        <v>12</v>
      </c>
      <c r="C12" t="s">
        <v>543</v>
      </c>
    </row>
    <row r="13" spans="1:3" x14ac:dyDescent="0.25">
      <c r="A13" t="s">
        <v>464</v>
      </c>
      <c r="B13" s="1">
        <v>13</v>
      </c>
      <c r="C13" t="s">
        <v>544</v>
      </c>
    </row>
    <row r="14" spans="1:3" x14ac:dyDescent="0.25">
      <c r="A14" t="s">
        <v>468</v>
      </c>
      <c r="B14" s="1">
        <v>14</v>
      </c>
      <c r="C14" t="s">
        <v>545</v>
      </c>
    </row>
    <row r="15" spans="1:3" x14ac:dyDescent="0.25">
      <c r="A15" t="s">
        <v>477</v>
      </c>
      <c r="B15" s="1">
        <v>15</v>
      </c>
      <c r="C15" t="s">
        <v>546</v>
      </c>
    </row>
    <row r="16" spans="1:3" x14ac:dyDescent="0.25">
      <c r="A16" t="s">
        <v>491</v>
      </c>
      <c r="B16" s="1">
        <v>16</v>
      </c>
      <c r="C16" t="s">
        <v>547</v>
      </c>
    </row>
    <row r="17" spans="1:3" x14ac:dyDescent="0.25">
      <c r="A17" t="s">
        <v>474</v>
      </c>
      <c r="B17" s="1">
        <v>17</v>
      </c>
      <c r="C17" t="s">
        <v>548</v>
      </c>
    </row>
    <row r="18" spans="1:3" x14ac:dyDescent="0.25">
      <c r="A18" t="s">
        <v>481</v>
      </c>
      <c r="B18" s="1">
        <v>18</v>
      </c>
      <c r="C18" t="s">
        <v>549</v>
      </c>
    </row>
    <row r="19" spans="1:3" x14ac:dyDescent="0.25">
      <c r="A19" t="s">
        <v>499</v>
      </c>
      <c r="B19" s="1">
        <v>19</v>
      </c>
      <c r="C19" t="s">
        <v>550</v>
      </c>
    </row>
    <row r="20" spans="1:3" x14ac:dyDescent="0.25">
      <c r="A20" t="s">
        <v>500</v>
      </c>
      <c r="B20" s="1">
        <v>20</v>
      </c>
      <c r="C20" t="s">
        <v>551</v>
      </c>
    </row>
    <row r="21" spans="1:3" x14ac:dyDescent="0.25">
      <c r="A21" t="s">
        <v>501</v>
      </c>
      <c r="B21" s="1">
        <v>21</v>
      </c>
      <c r="C21" t="s">
        <v>552</v>
      </c>
    </row>
    <row r="22" spans="1:3" x14ac:dyDescent="0.25">
      <c r="A22" t="s">
        <v>502</v>
      </c>
      <c r="B22" s="1">
        <v>22</v>
      </c>
      <c r="C22" t="s">
        <v>553</v>
      </c>
    </row>
    <row r="23" spans="1:3" x14ac:dyDescent="0.25">
      <c r="A23" t="s">
        <v>479</v>
      </c>
      <c r="B23" s="1">
        <v>23</v>
      </c>
      <c r="C23" t="s">
        <v>554</v>
      </c>
    </row>
    <row r="24" spans="1:3" x14ac:dyDescent="0.25">
      <c r="A24" t="s">
        <v>480</v>
      </c>
      <c r="B24" s="1">
        <v>24</v>
      </c>
      <c r="C24" t="s">
        <v>555</v>
      </c>
    </row>
    <row r="25" spans="1:3" x14ac:dyDescent="0.25">
      <c r="A25" t="s">
        <v>503</v>
      </c>
      <c r="B25" s="1">
        <v>25</v>
      </c>
      <c r="C25" t="s">
        <v>556</v>
      </c>
    </row>
    <row r="26" spans="1:3" x14ac:dyDescent="0.25">
      <c r="A26" t="s">
        <v>476</v>
      </c>
      <c r="B26" s="1">
        <v>26</v>
      </c>
      <c r="C26" t="s">
        <v>557</v>
      </c>
    </row>
    <row r="27" spans="1:3" x14ac:dyDescent="0.25">
      <c r="A27" t="s">
        <v>473</v>
      </c>
      <c r="B27" s="1">
        <v>27</v>
      </c>
      <c r="C27" t="s">
        <v>558</v>
      </c>
    </row>
    <row r="28" spans="1:3" x14ac:dyDescent="0.25">
      <c r="A28" t="s">
        <v>504</v>
      </c>
      <c r="B28" s="1">
        <v>28</v>
      </c>
      <c r="C28" t="s">
        <v>559</v>
      </c>
    </row>
    <row r="29" spans="1:3" x14ac:dyDescent="0.25">
      <c r="A29" t="s">
        <v>505</v>
      </c>
      <c r="B29" s="1">
        <v>29</v>
      </c>
      <c r="C29" t="s">
        <v>560</v>
      </c>
    </row>
    <row r="30" spans="1:3" x14ac:dyDescent="0.25">
      <c r="A30" t="s">
        <v>472</v>
      </c>
      <c r="B30" s="1">
        <v>30</v>
      </c>
      <c r="C30" t="s">
        <v>561</v>
      </c>
    </row>
    <row r="31" spans="1:3" x14ac:dyDescent="0.25">
      <c r="A31" t="s">
        <v>506</v>
      </c>
      <c r="B31" s="1">
        <v>31</v>
      </c>
      <c r="C31" t="s">
        <v>562</v>
      </c>
    </row>
    <row r="32" spans="1:3" x14ac:dyDescent="0.25">
      <c r="A32" t="s">
        <v>483</v>
      </c>
      <c r="B32" s="1">
        <v>32</v>
      </c>
      <c r="C32" t="s">
        <v>563</v>
      </c>
    </row>
    <row r="33" spans="1:3" x14ac:dyDescent="0.25">
      <c r="A33" t="s">
        <v>490</v>
      </c>
      <c r="B33" s="1">
        <v>33</v>
      </c>
      <c r="C33" t="s">
        <v>564</v>
      </c>
    </row>
    <row r="34" spans="1:3" x14ac:dyDescent="0.25">
      <c r="A34" t="s">
        <v>507</v>
      </c>
      <c r="B34" s="1">
        <v>34</v>
      </c>
      <c r="C34" t="s">
        <v>565</v>
      </c>
    </row>
    <row r="35" spans="1:3" x14ac:dyDescent="0.25">
      <c r="A35" t="s">
        <v>508</v>
      </c>
      <c r="B35" s="1">
        <v>35</v>
      </c>
      <c r="C35" t="s">
        <v>566</v>
      </c>
    </row>
    <row r="36" spans="1:3" x14ac:dyDescent="0.25">
      <c r="A36" t="s">
        <v>509</v>
      </c>
      <c r="B36" s="1">
        <v>36</v>
      </c>
      <c r="C36" t="s">
        <v>567</v>
      </c>
    </row>
    <row r="37" spans="1:3" x14ac:dyDescent="0.25">
      <c r="A37" t="s">
        <v>510</v>
      </c>
      <c r="B37" s="1">
        <v>37</v>
      </c>
      <c r="C37" t="s">
        <v>568</v>
      </c>
    </row>
    <row r="38" spans="1:3" x14ac:dyDescent="0.25">
      <c r="A38" t="s">
        <v>495</v>
      </c>
      <c r="B38" s="1">
        <v>38</v>
      </c>
      <c r="C38" t="s">
        <v>569</v>
      </c>
    </row>
    <row r="39" spans="1:3" x14ac:dyDescent="0.25">
      <c r="A39" t="s">
        <v>511</v>
      </c>
      <c r="B39" s="1">
        <v>39</v>
      </c>
      <c r="C39" t="s">
        <v>570</v>
      </c>
    </row>
    <row r="40" spans="1:3" x14ac:dyDescent="0.25">
      <c r="A40" t="s">
        <v>489</v>
      </c>
      <c r="B40" s="1">
        <v>40</v>
      </c>
      <c r="C40" t="s">
        <v>571</v>
      </c>
    </row>
    <row r="41" spans="1:3" x14ac:dyDescent="0.25">
      <c r="A41" t="s">
        <v>488</v>
      </c>
      <c r="B41" s="1">
        <v>41</v>
      </c>
      <c r="C41" t="s">
        <v>572</v>
      </c>
    </row>
    <row r="42" spans="1:3" x14ac:dyDescent="0.25">
      <c r="A42" t="s">
        <v>487</v>
      </c>
      <c r="B42" s="1">
        <v>42</v>
      </c>
      <c r="C42" t="s">
        <v>573</v>
      </c>
    </row>
    <row r="43" spans="1:3" x14ac:dyDescent="0.25">
      <c r="A43" t="s">
        <v>482</v>
      </c>
      <c r="B43" s="1">
        <v>43</v>
      </c>
      <c r="C43" t="s">
        <v>574</v>
      </c>
    </row>
    <row r="44" spans="1:3" x14ac:dyDescent="0.25">
      <c r="A44" t="s">
        <v>471</v>
      </c>
      <c r="B44" s="1">
        <v>44</v>
      </c>
      <c r="C44" t="s">
        <v>575</v>
      </c>
    </row>
    <row r="45" spans="1:3" x14ac:dyDescent="0.25">
      <c r="A45" t="s">
        <v>512</v>
      </c>
      <c r="B45" s="1">
        <v>45</v>
      </c>
      <c r="C45" t="s">
        <v>576</v>
      </c>
    </row>
    <row r="46" spans="1:3" x14ac:dyDescent="0.25">
      <c r="A46" t="s">
        <v>513</v>
      </c>
      <c r="B46" s="1">
        <v>46</v>
      </c>
      <c r="C46" t="s">
        <v>577</v>
      </c>
    </row>
    <row r="47" spans="1:3" x14ac:dyDescent="0.25">
      <c r="A47" t="s">
        <v>514</v>
      </c>
      <c r="B47" s="1">
        <v>47</v>
      </c>
      <c r="C47" t="s">
        <v>578</v>
      </c>
    </row>
    <row r="48" spans="1:3" x14ac:dyDescent="0.25">
      <c r="A48" t="s">
        <v>515</v>
      </c>
      <c r="B48" s="1">
        <v>48</v>
      </c>
      <c r="C48" t="s">
        <v>579</v>
      </c>
    </row>
    <row r="49" spans="1:3" x14ac:dyDescent="0.25">
      <c r="A49" t="s">
        <v>516</v>
      </c>
      <c r="B49" s="1">
        <v>49</v>
      </c>
      <c r="C49" t="s">
        <v>580</v>
      </c>
    </row>
    <row r="50" spans="1:3" x14ac:dyDescent="0.25">
      <c r="A50" t="s">
        <v>517</v>
      </c>
      <c r="B50" s="1">
        <v>50</v>
      </c>
      <c r="C50" t="s">
        <v>581</v>
      </c>
    </row>
    <row r="51" spans="1:3" x14ac:dyDescent="0.25">
      <c r="A51" t="s">
        <v>518</v>
      </c>
      <c r="B51" s="1">
        <v>51</v>
      </c>
      <c r="C51" t="s">
        <v>582</v>
      </c>
    </row>
    <row r="52" spans="1:3" x14ac:dyDescent="0.25">
      <c r="A52" t="s">
        <v>519</v>
      </c>
      <c r="B52" s="1">
        <v>52</v>
      </c>
      <c r="C52" t="s">
        <v>583</v>
      </c>
    </row>
    <row r="53" spans="1:3" x14ac:dyDescent="0.25">
      <c r="A53" t="s">
        <v>520</v>
      </c>
      <c r="B53" s="1">
        <v>53</v>
      </c>
      <c r="C53" t="s">
        <v>584</v>
      </c>
    </row>
    <row r="54" spans="1:3" x14ac:dyDescent="0.25">
      <c r="A54" t="s">
        <v>521</v>
      </c>
      <c r="B54" s="1">
        <v>54</v>
      </c>
      <c r="C54" t="s">
        <v>585</v>
      </c>
    </row>
    <row r="55" spans="1:3" x14ac:dyDescent="0.25">
      <c r="A55" t="s">
        <v>522</v>
      </c>
      <c r="B55" s="1">
        <v>55</v>
      </c>
      <c r="C55" t="s">
        <v>586</v>
      </c>
    </row>
    <row r="56" spans="1:3" x14ac:dyDescent="0.25">
      <c r="A56" t="s">
        <v>523</v>
      </c>
      <c r="B56" s="1">
        <v>56</v>
      </c>
      <c r="C56" t="s">
        <v>587</v>
      </c>
    </row>
    <row r="57" spans="1:3" x14ac:dyDescent="0.25">
      <c r="A57" t="s">
        <v>524</v>
      </c>
      <c r="B57" s="1">
        <v>57</v>
      </c>
      <c r="C57" t="s">
        <v>588</v>
      </c>
    </row>
    <row r="58" spans="1:3" x14ac:dyDescent="0.25">
      <c r="A58" t="s">
        <v>525</v>
      </c>
      <c r="B58" s="1">
        <v>58</v>
      </c>
      <c r="C58" t="s">
        <v>589</v>
      </c>
    </row>
    <row r="59" spans="1:3" x14ac:dyDescent="0.25">
      <c r="A59" t="s">
        <v>526</v>
      </c>
      <c r="B59" s="1">
        <v>59</v>
      </c>
      <c r="C59" t="s">
        <v>590</v>
      </c>
    </row>
    <row r="60" spans="1:3" x14ac:dyDescent="0.25">
      <c r="A60" t="s">
        <v>527</v>
      </c>
      <c r="B60" s="1">
        <v>60</v>
      </c>
      <c r="C60" t="s">
        <v>591</v>
      </c>
    </row>
    <row r="61" spans="1:3" x14ac:dyDescent="0.25">
      <c r="A61" t="s">
        <v>528</v>
      </c>
      <c r="B61" s="1">
        <v>61</v>
      </c>
      <c r="C61" t="s">
        <v>592</v>
      </c>
    </row>
    <row r="62" spans="1:3" x14ac:dyDescent="0.25">
      <c r="A62" t="s">
        <v>529</v>
      </c>
      <c r="B62" s="1">
        <v>62</v>
      </c>
      <c r="C62" t="s">
        <v>593</v>
      </c>
    </row>
    <row r="63" spans="1:3" x14ac:dyDescent="0.25">
      <c r="A63" t="s">
        <v>530</v>
      </c>
      <c r="B63" s="1">
        <v>63</v>
      </c>
      <c r="C63" t="s">
        <v>594</v>
      </c>
    </row>
    <row r="64" spans="1:3" x14ac:dyDescent="0.25">
      <c r="A64" t="s">
        <v>531</v>
      </c>
      <c r="B64" s="1">
        <v>64</v>
      </c>
      <c r="C64" t="s">
        <v>595</v>
      </c>
    </row>
    <row r="65" spans="1:3" x14ac:dyDescent="0.25">
      <c r="A65" t="s">
        <v>485</v>
      </c>
      <c r="B65" s="1">
        <v>65</v>
      </c>
      <c r="C65" t="s">
        <v>596</v>
      </c>
    </row>
    <row r="66" spans="1:3" x14ac:dyDescent="0.25">
      <c r="A66" t="s">
        <v>493</v>
      </c>
      <c r="B66" s="1">
        <v>66</v>
      </c>
      <c r="C66" t="s">
        <v>597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2020-05-19T21:14:07Z</dcterms:created>
  <dcterms:modified xsi:type="dcterms:W3CDTF">2020-05-23T14:09:52Z</dcterms:modified>
</cp:coreProperties>
</file>